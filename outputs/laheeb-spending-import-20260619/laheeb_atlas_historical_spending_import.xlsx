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c40b90d932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&amp; Checks" sheetId="1" r:id="R95037482f1b341c0"/>
    <x:sheet xmlns:r="http://schemas.openxmlformats.org/officeDocument/2006/relationships" name="Import Purchases" sheetId="2" r:id="Rd3732009b28c47ef"/>
    <x:sheet xmlns:r="http://schemas.openxmlformats.org/officeDocument/2006/relationships" name="Import Capital" sheetId="3" r:id="Rb4efb859716f4b61"/>
    <x:sheet xmlns:r="http://schemas.openxmlformats.org/officeDocument/2006/relationships" name="Source Audit" sheetId="4" r:id="R49a80165f9b443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-"/>
    <x:numFmt numFmtId="201" formatCode="yyyy-mm-dd"/>
    <x:numFmt numFmtId="202" formatCode="@"/>
    <x:numFmt numFmtId="203" formatCode="0.000"/>
    <x:numFmt numFmtId="204" formatCode="#,##0.000;[Red](#,##0.000);-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A2F1F"/>
      <x:name val="Carlito"/>
    </x:font>
    <x:font>
      <x:b/>
      <x:sz val="11"/>
      <x:color rgb="FFFFFFFF"/>
      <x:name val="Carlito"/>
    </x:font>
    <x:font>
      <x:b/>
      <x:sz val="11"/>
      <x:color rgb="FF008000"/>
      <x:name val="Carlito"/>
    </x:font>
    <x:font>
      <x:sz val="11"/>
      <x:color rgb="FF5A2F1F"/>
      <x:name val="Carlito"/>
    </x:font>
    <x:font>
      <x:sz val="10"/>
      <x:color rgb="FF5A2F1F"/>
      <x:name val="Carlito"/>
    </x:font>
    <x:font>
      <x:b/>
      <x:sz val="10"/>
      <x:color rgb="FFFFFFFF"/>
      <x:name val="Carlito"/>
    </x:font>
    <x:font>
      <x:sz val="10"/>
      <x:color rgb="FF0000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3C4321"/>
      </x:patternFill>
    </x:fill>
    <x:fill>
      <x:patternFill patternType="solid">
        <x:fgColor rgb="FFF3EFD5"/>
      </x:patternFill>
    </x:fill>
    <x:fill>
      <x:patternFill patternType="solid">
        <x:fgColor rgb="FF7F8C55"/>
      </x:patternFill>
    </x:fill>
    <x:fill>
      <x:patternFill patternType="solid">
        <x:fgColor rgb="FFFFFFFF"/>
      </x:patternFill>
    </x:fill>
    <x:fill>
      <x:patternFill patternType="solid">
        <x:fgColor rgb="FF5A2F1F"/>
      </x:patternFill>
    </x:fill>
    <x:fill>
      <x:patternFill patternType="solid">
        <x:fgColor rgb="FFFAF8EE"/>
      </x:patternFill>
    </x:fill>
    <x:fill>
      <x:patternFill patternType="solid">
        <x:fgColor rgb="FFAD6732"/>
      </x:patternFill>
    </x:fill>
  </x:fills>
  <x:borders count="2">
    <x:border/>
    <x:border>
      <x:left style="thin">
        <x:color rgb="FFD8D1B7"/>
      </x:left>
      <x:right style="thin">
        <x:color rgb="FFD8D1B7"/>
      </x:right>
      <x:top style="thin">
        <x:color rgb="FFD8D1B7"/>
      </x:top>
      <x:bottom style="thin">
        <x:color rgb="FFD8D1B7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8" borderId="1" xfId="0" applyNumberFormat="1" applyFont="1" applyFill="1" applyBorder="1"/>
    <x:xf numFmtId="0" fontId="3" fillId="8" borderId="1" xfId="0" applyNumberFormat="1" applyFont="1" applyFill="1" applyBorder="1"/>
    <x:xf numFmtId="200" fontId="5" fillId="7" borderId="1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vertical="center"/>
    </x:xf>
    <x:xf numFmtId="0" fontId="6" fillId="8" borderId="1" xfId="0" applyNumberFormat="1" applyFont="1" applyFill="1" applyBorder="1" applyAlignment="1">
      <x:alignment vertical="center"/>
    </x:xf>
    <x:xf numFmtId="0" fontId="7" fillId="8" borderId="1" xfId="0" applyNumberFormat="1" applyFont="1" applyFill="1" applyBorder="1" applyAlignment="1">
      <x:alignment vertical="center"/>
    </x:xf>
    <x:xf numFmtId="0" fontId="7" fillId="8" borderId="1" xfId="0" applyNumberFormat="1" applyFont="1" applyFill="1" applyBorder="1" applyAlignment="1">
      <x:alignment vertical="center" wrapText="1"/>
    </x:xf>
    <x:xf numFmtId="200" fontId="6" fillId="7" borderId="1" xfId="0" applyNumberFormat="1" applyFont="1" applyFill="1" applyBorder="1" applyAlignment="1">
      <x:alignment vertical="center"/>
    </x:xf>
    <x:xf numFmtId="201" fontId="6" fillId="7" borderId="1" xfId="0" applyNumberFormat="1" applyFont="1" applyFill="1" applyBorder="1" applyAlignment="1">
      <x:alignment vertical="center"/>
    </x:xf>
    <x:xf numFmtId="202" fontId="6" fillId="7" borderId="1" xfId="0" applyNumberFormat="1" applyFont="1" applyFill="1" applyBorder="1" applyAlignment="1">
      <x:alignment vertical="center"/>
    </x:xf>
    <x:xf numFmtId="203" fontId="6" fillId="7" borderId="1" xfId="0" applyNumberFormat="1" applyFont="1" applyFill="1" applyBorder="1" applyAlignment="1">
      <x:alignment vertical="center"/>
    </x:xf>
    <x:xf numFmtId="204" fontId="6" fillId="7" borderId="1" xfId="0" applyNumberFormat="1" applyFont="1" applyFill="1" applyBorder="1" applyAlignment="1">
      <x:alignment vertical="center"/>
    </x:xf>
    <x:xf numFmtId="202" fontId="8" fillId="7" borderId="1" xfId="0" applyNumberFormat="1" applyFont="1" applyFill="1" applyBorder="1" applyAlignment="1">
      <x:alignment vertical="center"/>
    </x:xf>
    <x:xf numFmtId="0" fontId="8" fillId="7" borderId="1" xfId="0" applyNumberFormat="1" applyFont="1" applyFill="1" applyBorder="1" applyAlignment="1">
      <x:alignment vertical="center"/>
    </x:xf>
    <x:xf numFmtId="201" fontId="8" fillId="7" borderId="1" xfId="0" applyNumberFormat="1" applyFont="1" applyFill="1" applyBorder="1" applyAlignment="1">
      <x:alignment vertical="center"/>
    </x:xf>
    <x:xf numFmtId="203" fontId="8" fillId="7" borderId="1" xfId="0" applyNumberFormat="1" applyFont="1" applyFill="1" applyBorder="1" applyAlignment="1">
      <x:alignment vertical="center"/>
    </x:xf>
    <x:xf numFmtId="204" fontId="8" fillId="7" borderId="1" xfId="0" applyNumberFormat="1" applyFont="1" applyFill="1" applyBorder="1" applyAlignment="1">
      <x:alignment vertical="center"/>
    </x:xf>
    <x:xf numFmtId="200" fontId="8" fillId="7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3C4321"/>
      </x:font>
      <x:fill>
        <x:patternFill patternType="solid">
          <x:bgColor rgb="FFDDE8C4"/>
        </x:patternFill>
      </x:fill>
    </x:dxf>
    <x:dxf>
      <x:font>
        <x:b/>
        <x:color rgb="FF96351F"/>
      </x:font>
      <x:fill>
        <x:patternFill patternType="solid">
          <x:bgColor rgb="FFF3D4CC"/>
        </x:patternFill>
      </x:fill>
    </x:dxf>
    <x:dxf>
      <x:font>
        <x:b/>
        <x:color rgb="FF5A2F1F"/>
      </x:font>
      <x:fill>
        <x:patternFill patternType="solid">
          <x:bgColor rgb="FFF5E1B8"/>
        </x:patternFill>
      </x:fill>
    </x:dxf>
    <x:dxf>
      <x:font>
        <x:b/>
        <x:color rgb="FF555555"/>
      </x:font>
      <x:fill>
        <x:patternFill patternType="solid">
          <x:bgColor rgb="FFE5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805727903e4f52" /><Relationship Type="http://schemas.openxmlformats.org/officeDocument/2006/relationships/theme" Target="/xl/theme/theme1.xml" Id="R237365fe34824306" /><Relationship Type="http://schemas.openxmlformats.org/officeDocument/2006/relationships/sharedStrings" Target="/xl/sharedStrings.xml" Id="Ra21d130193b74fd0" /><Relationship Type="http://schemas.openxmlformats.org/officeDocument/2006/relationships/worksheet" Target="/xl/worksheets/sheet1.xml" Id="R95037482f1b341c0" /><Relationship Type="http://schemas.openxmlformats.org/officeDocument/2006/relationships/worksheet" Target="/xl/worksheets/sheet2.xml" Id="Rd3732009b28c47ef" /><Relationship Type="http://schemas.openxmlformats.org/officeDocument/2006/relationships/worksheet" Target="/xl/worksheets/sheet3.xml" Id="Rb4efb859716f4b61" /><Relationship Type="http://schemas.openxmlformats.org/officeDocument/2006/relationships/worksheet" Target="/xl/worksheets/sheet4.xml" Id="R49a80165f9b44393" /></Relationships>
</file>

<file path=xl/tables/table1.xml><?xml version="1.0" encoding="utf-8"?>
<x:table xmlns:x="http://schemas.openxmlformats.org/spreadsheetml/2006/main" id="1" name="HistoricalPurchasesImport" displayName="HistoricalPurchasesImport" ref="A2:X109" headerRowCount="1">
  <x:tableColumns count="24">
    <x:tableColumn id="1" name="recordKey"/>
    <x:tableColumn id="2" name="lineNo"/>
    <x:tableColumn id="3" name="date"/>
    <x:tableColumn id="4" name="supplier"/>
    <x:tableColumn id="5" name="invoice"/>
    <x:tableColumn id="6" name="reference"/>
    <x:tableColumn id="7" name="itemType"/>
    <x:tableColumn id="8" name="itemName"/>
    <x:tableColumn id="9" name="expenseCategory"/>
    <x:tableColumn id="10" name="inventoryCategory"/>
    <x:tableColumn id="11" name="assetKey"/>
    <x:tableColumn id="12" name="assetCategory"/>
    <x:tableColumn id="13" name="quantity"/>
    <x:tableColumn id="14" name="unit"/>
    <x:tableColumn id="15" name="sourceUnitPrice"/>
    <x:tableColumn id="16" name="sourceLineAmount"/>
    <x:tableColumn id="17" name="sourceCurrency"/>
    <x:tableColumn id="18" name="rate"/>
    <x:tableColumn id="19" name="lineAmountIqd"/>
    <x:tableColumn id="20" name="invoiceTotalIqd"/>
    <x:tableColumn id="21" name="paymentMode"/>
    <x:tableColumn id="22" name="paymentAccount"/>
    <x:tableColumn id="23" name="branchCode"/>
    <x:tableColumn id="2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HistoricalCapitalImport" displayName="HistoricalCapitalImport" ref="A2:G5" headerRowCount="1">
  <x:tableColumns count="7">
    <x:tableColumn id="1" name="shareholder"/>
    <x:tableColumn id="2" name="amount"/>
    <x:tableColumn id="3" name="date"/>
    <x:tableColumn id="4" name="currency"/>
    <x:tableColumn id="5" name="reference"/>
    <x:tableColumn id="6" name="account"/>
    <x:tableColumn id="7" name="branchCode"/>
  </x:tableColumns>
  <x:tableStyleInfo name="TableStyleMedium4" showRowStripes="1"/>
</x:table>
</file>

<file path=xl/tables/table3.xml><?xml version="1.0" encoding="utf-8"?>
<x:table xmlns:x="http://schemas.openxmlformats.org/spreadsheetml/2006/main" id="3" name="HistoricalSourceAudit" displayName="HistoricalSourceAudit" ref="A2:S113" headerRowCount="1">
  <x:tableColumns count="19">
    <x:tableColumn id="1" name="sourceRow"/>
    <x:tableColumn id="2" name="recordKey"/>
    <x:tableColumn id="3" name="item"/>
    <x:tableColumn id="4" name="quantity"/>
    <x:tableColumn id="5" name="sourceUnitPrice"/>
    <x:tableColumn id="6" name="sourceUnit"/>
    <x:tableColumn id="7" name="supplier"/>
    <x:tableColumn id="8" name="invoice"/>
    <x:tableColumn id="9" name="sourceDate"/>
    <x:tableColumn id="10" name="normalizedDate"/>
    <x:tableColumn id="11" name="sourceCurrency"/>
    <x:tableColumn id="12" name="sourceLineAmount"/>
    <x:tableColumn id="13" name="sourceInvoiceTotalIqd"/>
    <x:tableColumn id="14" name="decision"/>
    <x:tableColumn id="15" name="itemType"/>
    <x:tableColumn id="16" name="expenseCategory"/>
    <x:tableColumn id="17" name="inventoryCategory"/>
    <x:tableColumn id="18" name="normalizedLineIqd"/>
    <x:tableColumn id="1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c72fb5760648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6e830887bc4e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39ef25521340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4" hidden="0" customWidth="1"/>
    <x:col min="3" max="3" width="14" hidden="0" customWidth="1"/>
    <x:col min="4" max="4" width="32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  <x:col min="9" max="9" width="14" hidden="0" customWidth="1"/>
    <x:col min="10" max="10" width="28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4" customHeight="1">
      <x:c r="A1" s="3" t="str">
        <x:v>Laheeb Atlas | Historical Spending Import</x:v>
      </x:c>
      <x:c r="B1" s="3" t="str">
        <x:v>Laheeb Atlas | Historical Spending Import</x:v>
      </x:c>
      <x:c r="C1" s="3" t="str">
        <x:v>Laheeb Atlas | Historical Spending Import</x:v>
      </x:c>
      <x:c r="D1" s="3" t="str">
        <x:v>Laheeb Atlas | Historical Spending Import</x:v>
      </x:c>
      <x:c r="E1" s="3" t="str">
        <x:v>Laheeb Atlas | Historical Spending Import</x:v>
      </x:c>
      <x:c r="F1" s="3" t="str">
        <x:v>Laheeb Atlas | Historical Spending Import</x:v>
      </x:c>
    </x:row>
    <x:row r="2" ht="34" customHeight="1">
      <x:c r="A2" s="3" t="str">
        <x:v>Laheeb Atlas | Historical Spending Import</x:v>
      </x:c>
      <x:c r="B2" s="3" t="str">
        <x:v>Laheeb Atlas | Historical Spending Import</x:v>
      </x:c>
      <x:c r="C2" s="3" t="str">
        <x:v>Laheeb Atlas | Historical Spending Import</x:v>
      </x:c>
      <x:c r="D2" s="3" t="str">
        <x:v>Laheeb Atlas | Historical Spending Import</x:v>
      </x:c>
      <x:c r="E2" s="3" t="str">
        <x:v>Laheeb Atlas | Historical Spending Import</x:v>
      </x:c>
      <x:c r="F2" s="3" t="str">
        <x:v>Laheeb Atlas | Historical Spending Import</x:v>
      </x:c>
    </x:row>
    <x:row r="3" ht="32" customHeight="1">
      <x:c r="A3" s="6" t="str">
        <x:v>Prepared from حسابات لهيب (1).xlsx | IQD reporting | HQ | Cash on Hands | As prepared 2026-06-19</x:v>
      </x:c>
      <x:c r="B3" s="6" t="str">
        <x:v>Prepared from حسابات لهيب (1).xlsx | IQD reporting | HQ | Cash on Hands | As prepared 2026-06-19</x:v>
      </x:c>
      <x:c r="C3" s="6" t="str">
        <x:v>Prepared from حسابات لهيب (1).xlsx | IQD reporting | HQ | Cash on Hands | As prepared 2026-06-19</x:v>
      </x:c>
      <x:c r="D3" s="6" t="str">
        <x:v>Prepared from حسابات لهيب (1).xlsx | IQD reporting | HQ | Cash on Hands | As prepared 2026-06-19</x:v>
      </x:c>
      <x:c r="E3" s="6" t="str">
        <x:v>Prepared from حسابات لهيب (1).xlsx | IQD reporting | HQ | Cash on Hands | As prepared 2026-06-19</x:v>
      </x:c>
      <x:c r="F3" s="6" t="str">
        <x:v>Prepared from حسابات لهيب (1).xlsx | IQD reporting | HQ | Cash on Hands | As prepared 2026-06-19</x:v>
      </x:c>
      <x:c r="H3" s="27" t="str">
        <x:v>Record</x:v>
      </x:c>
      <x:c r="I3" s="27" t="str">
        <x:v>Date</x:v>
      </x:c>
      <x:c r="J3" s="27" t="str">
        <x:v>Supplier</x:v>
      </x:c>
      <x:c r="K3" s="27" t="str">
        <x:v>Lines</x:v>
      </x:c>
      <x:c r="L3" s="27" t="str">
        <x:v>Invoice total IQD</x:v>
      </x:c>
      <x:c r="M3" s="27" t="str">
        <x:v>Import line total</x:v>
      </x:c>
      <x:c r="N3" s="27" t="str">
        <x:v>Difference</x:v>
      </x:c>
      <x:c r="O3" s="27" t="str">
        <x:v>Status</x:v>
      </x:c>
    </x:row>
    <x:row r="4">
      <x:c r="H4" s="24" t="str">
        <x:v>DOC000100</x:v>
      </x:c>
      <x:c r="I4" s="24" t="str">
        <x:v>2026-03-15</x:v>
      </x:c>
      <x:c r="J4" s="24" t="str">
        <x:v>بوابة الرافدين للبن الخام</x:v>
      </x:c>
      <x:c r="K4" s="24" t="n">
        <x:v>1</x:v>
      </x:c>
      <x:c r="L4" s="28" t="n">
        <x:v>322500</x:v>
      </x:c>
      <x:c r="M4" s="28" t="n">
        <x:v>322500</x:v>
      </x:c>
      <x:c r="N4" s="28" t="n">
        <x:f>M4-L4</x:f>
        <x:v>0</x:v>
      </x:c>
      <x:c r="O4" s="24" t="str">
        <x:f>IF(N4=0,"OK","REVIEW")</x:f>
        <x:v>OK</x:v>
      </x:c>
    </x:row>
    <x:row r="5">
      <x:c r="A5" s="9" t="str">
        <x:v>Imported spending</x:v>
      </x:c>
      <x:c r="B5" s="13" t="n">
        <x:f>SUM('Import Purchases'!S3:S109)</x:f>
        <x:v>25132895</x:v>
      </x:c>
      <x:c r="D5" s="15" t="str">
        <x:v>Release checks</x:v>
      </x:c>
      <x:c r="E5" s="15" t="str">
        <x:v>Release checks</x:v>
      </x:c>
      <x:c r="F5" s="15" t="str">
        <x:v>Release checks</x:v>
      </x:c>
      <x:c r="H5" s="24" t="str">
        <x:v>DOC000101</x:v>
      </x:c>
      <x:c r="I5" s="24" t="str">
        <x:v>2026-03-15</x:v>
      </x:c>
      <x:c r="J5" s="24" t="str">
        <x:v>بوابة الرافدين للبن الخام</x:v>
      </x:c>
      <x:c r="K5" s="24" t="n">
        <x:v>1</x:v>
      </x:c>
      <x:c r="L5" s="28" t="n">
        <x:v>367500</x:v>
      </x:c>
      <x:c r="M5" s="28" t="n">
        <x:v>367500</x:v>
      </x:c>
      <x:c r="N5" s="28" t="n">
        <x:f>M5-L5</x:f>
        <x:v>0</x:v>
      </x:c>
      <x:c r="O5" s="24" t="str">
        <x:f>IF(N5=0,"OK","REVIEW")</x:f>
        <x:v>OK</x:v>
      </x:c>
    </x:row>
    <x:row r="6">
      <x:c r="A6" s="9" t="str">
        <x:v>Owner contributions</x:v>
      </x:c>
      <x:c r="B6" s="13" t="n">
        <x:f>SUM('Import Capital'!B3:B5)</x:f>
        <x:v>25172895</x:v>
      </x:c>
      <x:c r="D6" s="20" t="str">
        <x:v>Check</x:v>
      </x:c>
      <x:c r="E6" s="20" t="str">
        <x:v>Difference</x:v>
      </x:c>
      <x:c r="F6" s="20" t="str">
        <x:v>Status</x:v>
      </x:c>
      <x:c r="H6" s="24" t="str">
        <x:v>DOC000102</x:v>
      </x:c>
      <x:c r="I6" s="24" t="str">
        <x:v>2026-03-15</x:v>
      </x:c>
      <x:c r="J6" s="24" t="str">
        <x:v>بوابة الرافدين للبن الخام</x:v>
      </x:c>
      <x:c r="K6" s="24" t="n">
        <x:v>1</x:v>
      </x:c>
      <x:c r="L6" s="28" t="n">
        <x:v>450000</x:v>
      </x:c>
      <x:c r="M6" s="28" t="n">
        <x:v>450000</x:v>
      </x:c>
      <x:c r="N6" s="28" t="n">
        <x:f>M6-L6</x:f>
        <x:v>0</x:v>
      </x:c>
      <x:c r="O6" s="24" t="str">
        <x:f>IF(N6=0,"OK","REVIEW")</x:f>
        <x:v>OK</x:v>
      </x:c>
    </x:row>
    <x:row r="7">
      <x:c r="A7" s="9" t="str">
        <x:v>Cash remaining after spending</x:v>
      </x:c>
      <x:c r="B7" s="13" t="n">
        <x:f>B6-B5</x:f>
        <x:v>40000</x:v>
      </x:c>
      <x:c r="D7" s="18" t="str">
        <x:v>Purchase lines vs invoice parents</x:v>
      </x:c>
      <x:c r="E7" s="21" t="n">
        <x:f>SUM(N4:N72)</x:f>
        <x:v>0</x:v>
      </x:c>
      <x:c r="F7" s="18" t="str">
        <x:f>IF(E7=0,"OK","REVIEW")</x:f>
        <x:v>OK</x:v>
      </x:c>
      <x:c r="H7" s="24" t="str">
        <x:v>DOC000103</x:v>
      </x:c>
      <x:c r="I7" s="24" t="str">
        <x:v>2026-01-21</x:v>
      </x:c>
      <x:c r="J7" s="24" t="str">
        <x:v>جبران</x:v>
      </x:c>
      <x:c r="K7" s="24" t="n">
        <x:v>2</x:v>
      </x:c>
      <x:c r="L7" s="28" t="n">
        <x:v>45000</x:v>
      </x:c>
      <x:c r="M7" s="28" t="n">
        <x:v>45000</x:v>
      </x:c>
      <x:c r="N7" s="28" t="n">
        <x:f>M7-L7</x:f>
        <x:v>0</x:v>
      </x:c>
      <x:c r="O7" s="24" t="str">
        <x:f>IF(N7=0,"OK","REVIEW")</x:f>
        <x:v>OK</x:v>
      </x:c>
    </x:row>
    <x:row r="8">
      <x:c r="A8" s="9" t="str">
        <x:v>Invoices</x:v>
      </x:c>
      <x:c r="B8" s="13" t="n">
        <x:f>COUNTA(H4:H72)</x:f>
        <x:v>69</x:v>
      </x:c>
      <x:c r="D8" s="18" t="str">
        <x:v>Capital total vs owner schedule</x:v>
      </x:c>
      <x:c r="E8" s="21" t="n">
        <x:f>B6-25172895</x:f>
        <x:v>0</x:v>
      </x:c>
      <x:c r="F8" s="18" t="str">
        <x:f>IF(E8=0,"OK","REVIEW")</x:f>
        <x:v>OK</x:v>
      </x:c>
      <x:c r="H8" s="24" t="str">
        <x:v>DOC000104</x:v>
      </x:c>
      <x:c r="I8" s="24" t="str">
        <x:v>2026-03-17</x:v>
      </x:c>
      <x:c r="J8" s="24" t="str">
        <x:v>هوم اسطنبول</x:v>
      </x:c>
      <x:c r="K8" s="24" t="n">
        <x:v>1</x:v>
      </x:c>
      <x:c r="L8" s="28" t="n">
        <x:v>99000</x:v>
      </x:c>
      <x:c r="M8" s="28" t="n">
        <x:v>99000</x:v>
      </x:c>
      <x:c r="N8" s="28" t="n">
        <x:f>M8-L8</x:f>
        <x:v>0</x:v>
      </x:c>
      <x:c r="O8" s="24" t="str">
        <x:f>IF(N8=0,"OK","REVIEW")</x:f>
        <x:v>OK</x:v>
      </x:c>
    </x:row>
    <x:row r="9">
      <x:c r="A9" s="9" t="str">
        <x:v>Source rows</x:v>
      </x:c>
      <x:c r="B9" s="13" t="n">
        <x:f>COUNTA('Source Audit'!A3:A113)</x:f>
        <x:v>111</x:v>
      </x:c>
      <x:c r="D9" s="18" t="str">
        <x:v>Capital less spending</x:v>
      </x:c>
      <x:c r="E9" s="21" t="n">
        <x:f>B7-40000</x:f>
        <x:v>0</x:v>
      </x:c>
      <x:c r="F9" s="18" t="str">
        <x:f>IF(E9=0,"OK","REVIEW")</x:f>
        <x:v>OK</x:v>
      </x:c>
      <x:c r="H9" s="24" t="str">
        <x:v>DOC000105</x:v>
      </x:c>
      <x:c r="I9" s="24" t="str">
        <x:v>2026-01-10</x:v>
      </x:c>
      <x:c r="J9" s="24" t="str">
        <x:v>شركة الاستلام</x:v>
      </x:c>
      <x:c r="K9" s="24" t="n">
        <x:v>1</x:v>
      </x:c>
      <x:c r="L9" s="28" t="n">
        <x:v>30000</x:v>
      </x:c>
      <x:c r="M9" s="28" t="n">
        <x:v>30000</x:v>
      </x:c>
      <x:c r="N9" s="28" t="n">
        <x:f>M9-L9</x:f>
        <x:v>0</x:v>
      </x:c>
      <x:c r="O9" s="24" t="str">
        <x:f>IF(N9=0,"OK","REVIEW")</x:f>
        <x:v>OK</x:v>
      </x:c>
    </x:row>
    <x:row r="10">
      <x:c r="A10" s="9" t="str">
        <x:v>Import lines</x:v>
      </x:c>
      <x:c r="B10" s="13" t="n">
        <x:f>COUNTA('Import Purchases'!A3:A109)</x:f>
        <x:v>107</x:v>
      </x:c>
      <x:c r="D10" s="18" t="str">
        <x:v>Required fields</x:v>
      </x:c>
      <x:c r="E10" s="21" t="n">
        <x:v>0</x:v>
      </x:c>
      <x:c r="F10" s="18" t="str">
        <x:v>OK</x:v>
      </x:c>
      <x:c r="H10" s="24" t="str">
        <x:v>DOC000106</x:v>
      </x:c>
      <x:c r="I10" s="24" t="str">
        <x:v>2025-12-20</x:v>
      </x:c>
      <x:c r="J10" s="24" t="str">
        <x:v>ئه لماس</x:v>
      </x:c>
      <x:c r="K10" s="24" t="n">
        <x:v>7</x:v>
      </x:c>
      <x:c r="L10" s="28" t="n">
        <x:v>24000</x:v>
      </x:c>
      <x:c r="M10" s="28" t="n">
        <x:v>24000</x:v>
      </x:c>
      <x:c r="N10" s="28" t="n">
        <x:f>M10-L10</x:f>
        <x:v>0</x:v>
      </x:c>
      <x:c r="O10" s="24" t="str">
        <x:f>IF(N10=0,"OK","REVIEW")</x:f>
        <x:v>OK</x:v>
      </x:c>
    </x:row>
    <x:row r="11">
      <x:c r="H11" s="24" t="str">
        <x:v>DOC000107</x:v>
      </x:c>
      <x:c r="I11" s="24" t="str">
        <x:v>2025-12-20</x:v>
      </x:c>
      <x:c r="J11" s="24" t="str">
        <x:v>فروشكاى بيشه نك</x:v>
      </x:c>
      <x:c r="K11" s="24" t="n">
        <x:v>3</x:v>
      </x:c>
      <x:c r="L11" s="28" t="n">
        <x:v>10000</x:v>
      </x:c>
      <x:c r="M11" s="28" t="n">
        <x:v>10000</x:v>
      </x:c>
      <x:c r="N11" s="28" t="n">
        <x:f>M11-L11</x:f>
        <x:v>0</x:v>
      </x:c>
      <x:c r="O11" s="24" t="str">
        <x:f>IF(N11=0,"OK","REVIEW")</x:f>
        <x:v>OK</x:v>
      </x:c>
    </x:row>
    <x:row r="12">
      <x:c r="H12" s="24" t="str">
        <x:v>DOC000108</x:v>
      </x:c>
      <x:c r="I12" s="24" t="str">
        <x:v>2026-02-04</x:v>
      </x:c>
      <x:c r="J12" s="24" t="str">
        <x:v>مكتب مكرم</x:v>
      </x:c>
      <x:c r="K12" s="24" t="n">
        <x:v>1</x:v>
      </x:c>
      <x:c r="L12" s="28" t="n">
        <x:v>85000</x:v>
      </x:c>
      <x:c r="M12" s="28" t="n">
        <x:v>85000</x:v>
      </x:c>
      <x:c r="N12" s="28" t="n">
        <x:f>M12-L12</x:f>
        <x:v>0</x:v>
      </x:c>
      <x:c r="O12" s="24" t="str">
        <x:f>IF(N12=0,"OK","REVIEW")</x:f>
        <x:v>OK</x:v>
      </x:c>
    </x:row>
    <x:row r="13">
      <x:c r="H13" s="24" t="str">
        <x:v>DOC000109</x:v>
      </x:c>
      <x:c r="I13" s="24" t="str">
        <x:v>2026-04-14</x:v>
      </x:c>
      <x:c r="J13" s="24" t="str">
        <x:v>شيمال كروب</x:v>
      </x:c>
      <x:c r="K13" s="24" t="n">
        <x:v>1</x:v>
      </x:c>
      <x:c r="L13" s="28" t="n">
        <x:v>150000</x:v>
      </x:c>
      <x:c r="M13" s="28" t="n">
        <x:v>150000</x:v>
      </x:c>
      <x:c r="N13" s="28" t="n">
        <x:f>M13-L13</x:f>
        <x:v>0</x:v>
      </x:c>
      <x:c r="O13" s="24" t="str">
        <x:f>IF(N13=0,"OK","REVIEW")</x:f>
        <x:v>OK</x:v>
      </x:c>
    </x:row>
    <x:row r="14">
      <x:c r="H14" s="24" t="str">
        <x:v>DOC000110</x:v>
      </x:c>
      <x:c r="I14" s="24" t="str">
        <x:v>2026-02-04</x:v>
      </x:c>
      <x:c r="J14" s="24" t="str">
        <x:v>اوبريتنك سيستم</x:v>
      </x:c>
      <x:c r="K14" s="24" t="n">
        <x:v>1</x:v>
      </x:c>
      <x:c r="L14" s="28" t="n">
        <x:v>50000</x:v>
      </x:c>
      <x:c r="M14" s="28" t="n">
        <x:v>50000</x:v>
      </x:c>
      <x:c r="N14" s="28" t="n">
        <x:f>M14-L14</x:f>
        <x:v>0</x:v>
      </x:c>
      <x:c r="O14" s="24" t="str">
        <x:f>IF(N14=0,"OK","REVIEW")</x:f>
        <x:v>OK</x:v>
      </x:c>
    </x:row>
    <x:row r="15">
      <x:c r="H15" s="24" t="str">
        <x:v>DOC000111</x:v>
      </x:c>
      <x:c r="I15" s="24" t="str">
        <x:v>2026-03-09</x:v>
      </x:c>
      <x:c r="J15" s="24" t="str">
        <x:v>عقارات نعمان عولا حاجى</x:v>
      </x:c>
      <x:c r="K15" s="24" t="n">
        <x:v>1</x:v>
      </x:c>
      <x:c r="L15" s="28" t="n">
        <x:v>200000</x:v>
      </x:c>
      <x:c r="M15" s="28" t="n">
        <x:v>200000</x:v>
      </x:c>
      <x:c r="N15" s="28" t="n">
        <x:f>M15-L15</x:f>
        <x:v>0</x:v>
      </x:c>
      <x:c r="O15" s="24" t="str">
        <x:f>IF(N15=0,"OK","REVIEW")</x:f>
        <x:v>OK</x:v>
      </x:c>
    </x:row>
    <x:row r="16">
      <x:c r="H16" s="24" t="str">
        <x:v>DOC000112</x:v>
      </x:c>
      <x:c r="I16" s="24" t="str">
        <x:v>2026-04-06</x:v>
      </x:c>
      <x:c r="J16" s="24" t="str">
        <x:v>عقارات نعمان عولا حاجى</x:v>
      </x:c>
      <x:c r="K16" s="24" t="n">
        <x:v>1</x:v>
      </x:c>
      <x:c r="L16" s="28" t="n">
        <x:v>200000</x:v>
      </x:c>
      <x:c r="M16" s="28" t="n">
        <x:v>200000</x:v>
      </x:c>
      <x:c r="N16" s="28" t="n">
        <x:f>M16-L16</x:f>
        <x:v>0</x:v>
      </x:c>
      <x:c r="O16" s="24" t="str">
        <x:f>IF(N16=0,"OK","REVIEW")</x:f>
        <x:v>OK</x:v>
      </x:c>
    </x:row>
    <x:row r="17">
      <x:c r="H17" s="24" t="str">
        <x:v>DOC000113</x:v>
      </x:c>
      <x:c r="I17" s="24" t="str">
        <x:v>2026-01-31</x:v>
      </x:c>
      <x:c r="J17" s="24" t="str">
        <x:v>بيس</x:v>
      </x:c>
      <x:c r="K17" s="24" t="n">
        <x:v>1</x:v>
      </x:c>
      <x:c r="L17" s="28" t="n">
        <x:v>20000</x:v>
      </x:c>
      <x:c r="M17" s="28" t="n">
        <x:v>20000</x:v>
      </x:c>
      <x:c r="N17" s="28" t="n">
        <x:f>M17-L17</x:f>
        <x:v>0</x:v>
      </x:c>
      <x:c r="O17" s="24" t="str">
        <x:f>IF(N17=0,"OK","REVIEW")</x:f>
        <x:v>OK</x:v>
      </x:c>
    </x:row>
    <x:row r="18">
      <x:c r="H18" s="24" t="str">
        <x:v>DOC000114</x:v>
      </x:c>
      <x:c r="I18" s="24" t="str">
        <x:v>2026-01-30</x:v>
      </x:c>
      <x:c r="J18" s="24" t="str">
        <x:v>هاي اكسبريس</x:v>
      </x:c>
      <x:c r="K18" s="24" t="n">
        <x:v>1</x:v>
      </x:c>
      <x:c r="L18" s="28" t="n">
        <x:v>12500</x:v>
      </x:c>
      <x:c r="M18" s="28" t="n">
        <x:v>12500</x:v>
      </x:c>
      <x:c r="N18" s="28" t="n">
        <x:f>M18-L18</x:f>
        <x:v>0</x:v>
      </x:c>
      <x:c r="O18" s="24" t="str">
        <x:f>IF(N18=0,"OK","REVIEW")</x:f>
        <x:v>OK</x:v>
      </x:c>
    </x:row>
    <x:row r="19">
      <x:c r="H19" s="24" t="str">
        <x:v>DOC000115</x:v>
      </x:c>
      <x:c r="I19" s="24" t="str">
        <x:v>2026-02-03</x:v>
      </x:c>
      <x:c r="J19" s="24" t="str">
        <x:v>عقارات نعمان عولا حاجى</x:v>
      </x:c>
      <x:c r="K19" s="24" t="n">
        <x:v>1</x:v>
      </x:c>
      <x:c r="L19" s="28" t="n">
        <x:v>200000</x:v>
      </x:c>
      <x:c r="M19" s="28" t="n">
        <x:v>200000</x:v>
      </x:c>
      <x:c r="N19" s="28" t="n">
        <x:f>M19-L19</x:f>
        <x:v>0</x:v>
      </x:c>
      <x:c r="O19" s="24" t="str">
        <x:f>IF(N19=0,"OK","REVIEW")</x:f>
        <x:v>OK</x:v>
      </x:c>
    </x:row>
    <x:row r="20">
      <x:c r="H20" s="24" t="str">
        <x:v>DOC000116</x:v>
      </x:c>
      <x:c r="I20" s="24" t="str">
        <x:v>2025-12-20</x:v>
      </x:c>
      <x:c r="J20" s="24" t="str">
        <x:v>ديكورات روزكار</x:v>
      </x:c>
      <x:c r="K20" s="24" t="n">
        <x:v>3</x:v>
      </x:c>
      <x:c r="L20" s="28" t="n">
        <x:v>34000</x:v>
      </x:c>
      <x:c r="M20" s="28" t="n">
        <x:v>34000</x:v>
      </x:c>
      <x:c r="N20" s="28" t="n">
        <x:f>M20-L20</x:f>
        <x:v>0</x:v>
      </x:c>
      <x:c r="O20" s="24" t="str">
        <x:f>IF(N20=0,"OK","REVIEW")</x:f>
        <x:v>OK</x:v>
      </x:c>
    </x:row>
    <x:row r="21">
      <x:c r="H21" s="24" t="str">
        <x:v>DOC000117</x:v>
      </x:c>
      <x:c r="I21" s="24" t="str">
        <x:v>2025-12-17</x:v>
      </x:c>
      <x:c r="J21" s="24" t="str">
        <x:v>شركة جزيرة النخيل</x:v>
      </x:c>
      <x:c r="K21" s="24" t="n">
        <x:v>7</x:v>
      </x:c>
      <x:c r="L21" s="28" t="n">
        <x:v>100000</x:v>
      </x:c>
      <x:c r="M21" s="28" t="n">
        <x:v>100000</x:v>
      </x:c>
      <x:c r="N21" s="28" t="n">
        <x:f>M21-L21</x:f>
        <x:v>0</x:v>
      </x:c>
      <x:c r="O21" s="24" t="str">
        <x:f>IF(N21=0,"OK","REVIEW")</x:f>
        <x:v>OK</x:v>
      </x:c>
    </x:row>
    <x:row r="22">
      <x:c r="H22" s="24" t="str">
        <x:v>DOC000118</x:v>
      </x:c>
      <x:c r="I22" s="24" t="str">
        <x:v>2026-02-01</x:v>
      </x:c>
      <x:c r="J22" s="24" t="str">
        <x:v>انجيكو</x:v>
      </x:c>
      <x:c r="K22" s="24" t="n">
        <x:v>1</x:v>
      </x:c>
      <x:c r="L22" s="28" t="n">
        <x:v>20000</x:v>
      </x:c>
      <x:c r="M22" s="28" t="n">
        <x:v>20000</x:v>
      </x:c>
      <x:c r="N22" s="28" t="n">
        <x:f>M22-L22</x:f>
        <x:v>0</x:v>
      </x:c>
      <x:c r="O22" s="24" t="str">
        <x:f>IF(N22=0,"OK","REVIEW")</x:f>
        <x:v>OK</x:v>
      </x:c>
    </x:row>
    <x:row r="23">
      <x:c r="H23" s="24" t="str">
        <x:v>DOC000119</x:v>
      </x:c>
      <x:c r="I23" s="24" t="str">
        <x:v>2026-02-01</x:v>
      </x:c>
      <x:c r="J23" s="24" t="str">
        <x:v>انجيكو</x:v>
      </x:c>
      <x:c r="K23" s="24" t="n">
        <x:v>1</x:v>
      </x:c>
      <x:c r="L23" s="28" t="n">
        <x:v>70000</x:v>
      </x:c>
      <x:c r="M23" s="28" t="n">
        <x:v>70000</x:v>
      </x:c>
      <x:c r="N23" s="28" t="n">
        <x:f>M23-L23</x:f>
        <x:v>0</x:v>
      </x:c>
      <x:c r="O23" s="24" t="str">
        <x:f>IF(N23=0,"OK","REVIEW")</x:f>
        <x:v>OK</x:v>
      </x:c>
    </x:row>
    <x:row r="24">
      <x:c r="H24" s="24" t="str">
        <x:v>DOC000120</x:v>
      </x:c>
      <x:c r="I24" s="24" t="str">
        <x:v>2026-02-01</x:v>
      </x:c>
      <x:c r="J24" s="24" t="str">
        <x:v>ادوات النجار</x:v>
      </x:c>
      <x:c r="K24" s="24" t="n">
        <x:v>1</x:v>
      </x:c>
      <x:c r="L24" s="28" t="n">
        <x:v>25000</x:v>
      </x:c>
      <x:c r="M24" s="28" t="n">
        <x:v>25000</x:v>
      </x:c>
      <x:c r="N24" s="28" t="n">
        <x:f>M24-L24</x:f>
        <x:v>0</x:v>
      </x:c>
      <x:c r="O24" s="24" t="str">
        <x:f>IF(N24=0,"OK","REVIEW")</x:f>
        <x:v>OK</x:v>
      </x:c>
    </x:row>
    <x:row r="25">
      <x:c r="H25" s="24" t="str">
        <x:v>DOC000121</x:v>
      </x:c>
      <x:c r="I25" s="24" t="str">
        <x:v>2026-02-01</x:v>
      </x:c>
      <x:c r="J25" s="24" t="str">
        <x:v>انجيكو</x:v>
      </x:c>
      <x:c r="K25" s="24" t="n">
        <x:v>1</x:v>
      </x:c>
      <x:c r="L25" s="28" t="n">
        <x:v>10000</x:v>
      </x:c>
      <x:c r="M25" s="28" t="n">
        <x:v>10000</x:v>
      </x:c>
      <x:c r="N25" s="28" t="n">
        <x:f>M25-L25</x:f>
        <x:v>0</x:v>
      </x:c>
      <x:c r="O25" s="24" t="str">
        <x:f>IF(N25=0,"OK","REVIEW")</x:f>
        <x:v>OK</x:v>
      </x:c>
    </x:row>
    <x:row r="26">
      <x:c r="H26" s="24" t="str">
        <x:v>DOC000122</x:v>
      </x:c>
      <x:c r="I26" s="24" t="str">
        <x:v>2025-11-18</x:v>
      </x:c>
      <x:c r="J26" s="24" t="str">
        <x:v>جزيرة النخيل</x:v>
      </x:c>
      <x:c r="K26" s="24" t="n">
        <x:v>4</x:v>
      </x:c>
      <x:c r="L26" s="28" t="n">
        <x:v>247000</x:v>
      </x:c>
      <x:c r="M26" s="28" t="n">
        <x:v>247000</x:v>
      </x:c>
      <x:c r="N26" s="28" t="n">
        <x:f>M26-L26</x:f>
        <x:v>0</x:v>
      </x:c>
      <x:c r="O26" s="24" t="str">
        <x:f>IF(N26=0,"OK","REVIEW")</x:f>
        <x:v>OK</x:v>
      </x:c>
    </x:row>
    <x:row r="27">
      <x:c r="H27" s="24" t="str">
        <x:v>DOC000123</x:v>
      </x:c>
      <x:c r="I27" s="24" t="str">
        <x:v>2026-02-07</x:v>
      </x:c>
      <x:c r="J27" s="24" t="str">
        <x:v>اشتي ستيل</x:v>
      </x:c>
      <x:c r="K27" s="24" t="n">
        <x:v>1</x:v>
      </x:c>
      <x:c r="L27" s="28" t="n">
        <x:v>150000</x:v>
      </x:c>
      <x:c r="M27" s="28" t="n">
        <x:v>150000</x:v>
      </x:c>
      <x:c r="N27" s="28" t="n">
        <x:f>M27-L27</x:f>
        <x:v>0</x:v>
      </x:c>
      <x:c r="O27" s="24" t="str">
        <x:f>IF(N27=0,"OK","REVIEW")</x:f>
        <x:v>OK</x:v>
      </x:c>
    </x:row>
    <x:row r="28">
      <x:c r="H28" s="24" t="str">
        <x:v>DOC000124</x:v>
      </x:c>
      <x:c r="I28" s="24" t="str">
        <x:v>2026-02-02</x:v>
      </x:c>
      <x:c r="J28" s="24" t="str">
        <x:v>اشتي ستيل</x:v>
      </x:c>
      <x:c r="K28" s="24" t="n">
        <x:v>2</x:v>
      </x:c>
      <x:c r="L28" s="28" t="n">
        <x:v>375000</x:v>
      </x:c>
      <x:c r="M28" s="28" t="n">
        <x:v>375000</x:v>
      </x:c>
      <x:c r="N28" s="28" t="n">
        <x:f>M28-L28</x:f>
        <x:v>0</x:v>
      </x:c>
      <x:c r="O28" s="24" t="str">
        <x:f>IF(N28=0,"OK","REVIEW")</x:f>
        <x:v>OK</x:v>
      </x:c>
    </x:row>
    <x:row r="29">
      <x:c r="H29" s="24" t="str">
        <x:v>DOC000125</x:v>
      </x:c>
      <x:c r="I29" s="24" t="str">
        <x:v>2026-04-15</x:v>
      </x:c>
      <x:c r="J29" s="24" t="str">
        <x:v>شيمال كروب</x:v>
      </x:c>
      <x:c r="K29" s="24" t="n">
        <x:v>1</x:v>
      </x:c>
      <x:c r="L29" s="28" t="n">
        <x:v>508000</x:v>
      </x:c>
      <x:c r="M29" s="28" t="n">
        <x:v>508000</x:v>
      </x:c>
      <x:c r="N29" s="28" t="n">
        <x:f>M29-L29</x:f>
        <x:v>0</x:v>
      </x:c>
      <x:c r="O29" s="24" t="str">
        <x:f>IF(N29=0,"OK","REVIEW")</x:f>
        <x:v>OK</x:v>
      </x:c>
    </x:row>
    <x:row r="30">
      <x:c r="H30" s="24" t="str">
        <x:v>DOC000126</x:v>
      </x:c>
      <x:c r="I30" s="24" t="str">
        <x:v>2026-03-15</x:v>
      </x:c>
      <x:c r="J30" s="24" t="str">
        <x:v>بوابة الرافدين للبن الخام</x:v>
      </x:c>
      <x:c r="K30" s="24" t="n">
        <x:v>1</x:v>
      </x:c>
      <x:c r="L30" s="28" t="n">
        <x:v>345000</x:v>
      </x:c>
      <x:c r="M30" s="28" t="n">
        <x:v>345000</x:v>
      </x:c>
      <x:c r="N30" s="28" t="n">
        <x:f>M30-L30</x:f>
        <x:v>0</x:v>
      </x:c>
      <x:c r="O30" s="24" t="str">
        <x:f>IF(N30=0,"OK","REVIEW")</x:f>
        <x:v>OK</x:v>
      </x:c>
    </x:row>
    <x:row r="31">
      <x:c r="H31" s="24" t="str">
        <x:v>DOC000127</x:v>
      </x:c>
      <x:c r="I31" s="24" t="str">
        <x:v>2025-12-01</x:v>
      </x:c>
      <x:c r="J31" s="24" t="str">
        <x:v>فنجال</x:v>
      </x:c>
      <x:c r="K31" s="24" t="n">
        <x:v>1</x:v>
      </x:c>
      <x:c r="L31" s="28" t="n">
        <x:v>125000</x:v>
      </x:c>
      <x:c r="M31" s="28" t="n">
        <x:v>125000</x:v>
      </x:c>
      <x:c r="N31" s="28" t="n">
        <x:f>M31-L31</x:f>
        <x:v>0</x:v>
      </x:c>
      <x:c r="O31" s="24" t="str">
        <x:f>IF(N31=0,"OK","REVIEW")</x:f>
        <x:v>OK</x:v>
      </x:c>
    </x:row>
    <x:row r="32">
      <x:c r="H32" s="24" t="str">
        <x:v>DOC000128</x:v>
      </x:c>
      <x:c r="I32" s="24" t="str">
        <x:v>2025-12-17</x:v>
      </x:c>
      <x:c r="J32" s="24" t="str">
        <x:v>عقارات نعمان عولا حاجى</x:v>
      </x:c>
      <x:c r="K32" s="24" t="n">
        <x:v>1</x:v>
      </x:c>
      <x:c r="L32" s="28" t="n">
        <x:v>400000</x:v>
      </x:c>
      <x:c r="M32" s="28" t="n">
        <x:v>400000</x:v>
      </x:c>
      <x:c r="N32" s="28" t="n">
        <x:f>M32-L32</x:f>
        <x:v>0</x:v>
      </x:c>
      <x:c r="O32" s="24" t="str">
        <x:f>IF(N32=0,"OK","REVIEW")</x:f>
        <x:v>OK</x:v>
      </x:c>
    </x:row>
    <x:row r="33">
      <x:c r="H33" s="24" t="str">
        <x:v>DOC000129</x:v>
      </x:c>
      <x:c r="I33" s="24" t="str">
        <x:v>2026-01-19</x:v>
      </x:c>
      <x:c r="J33" s="24" t="str">
        <x:v>المختصر</x:v>
      </x:c>
      <x:c r="K33" s="24" t="n">
        <x:v>1</x:v>
      </x:c>
      <x:c r="L33" s="28" t="n">
        <x:v>28000</x:v>
      </x:c>
      <x:c r="M33" s="28" t="n">
        <x:v>28000</x:v>
      </x:c>
      <x:c r="N33" s="28" t="n">
        <x:f>M33-L33</x:f>
        <x:v>0</x:v>
      </x:c>
      <x:c r="O33" s="24" t="str">
        <x:f>IF(N33=0,"OK","REVIEW")</x:f>
        <x:v>OK</x:v>
      </x:c>
    </x:row>
    <x:row r="34">
      <x:c r="H34" s="24" t="str">
        <x:v>DOC000130</x:v>
      </x:c>
      <x:c r="I34" s="24" t="str">
        <x:v>2026-02-19</x:v>
      </x:c>
      <x:c r="J34" s="24" t="str">
        <x:v>مكائن سيف</x:v>
      </x:c>
      <x:c r="K34" s="24" t="n">
        <x:v>3</x:v>
      </x:c>
      <x:c r="L34" s="28" t="n">
        <x:v>425000</x:v>
      </x:c>
      <x:c r="M34" s="28" t="n">
        <x:v>425000</x:v>
      </x:c>
      <x:c r="N34" s="28" t="n">
        <x:f>M34-L34</x:f>
        <x:v>0</x:v>
      </x:c>
      <x:c r="O34" s="24" t="str">
        <x:f>IF(N34=0,"OK","REVIEW")</x:f>
        <x:v>OK</x:v>
      </x:c>
    </x:row>
    <x:row r="35">
      <x:c r="H35" s="24" t="str">
        <x:v>DOC000131</x:v>
      </x:c>
      <x:c r="I35" s="24" t="str">
        <x:v>2025-12-04</x:v>
      </x:c>
      <x:c r="J35" s="24" t="str">
        <x:v>اوردري</x:v>
      </x:c>
      <x:c r="K35" s="24" t="n">
        <x:v>3</x:v>
      </x:c>
      <x:c r="L35" s="28" t="n">
        <x:v>1100000</x:v>
      </x:c>
      <x:c r="M35" s="28" t="n">
        <x:v>1100000</x:v>
      </x:c>
      <x:c r="N35" s="28" t="n">
        <x:f>M35-L35</x:f>
        <x:v>0</x:v>
      </x:c>
      <x:c r="O35" s="24" t="str">
        <x:f>IF(N35=0,"OK","REVIEW")</x:f>
        <x:v>OK</x:v>
      </x:c>
    </x:row>
    <x:row r="36">
      <x:c r="H36" s="24" t="str">
        <x:v>DOC000132</x:v>
      </x:c>
      <x:c r="I36" s="24" t="str">
        <x:v>2025-11-07</x:v>
      </x:c>
      <x:c r="J36" s="24" t="str">
        <x:v>اوردري</x:v>
      </x:c>
      <x:c r="K36" s="24" t="n">
        <x:v>1</x:v>
      </x:c>
      <x:c r="L36" s="28" t="n">
        <x:v>890000</x:v>
      </x:c>
      <x:c r="M36" s="28" t="n">
        <x:v>890000</x:v>
      </x:c>
      <x:c r="N36" s="28" t="n">
        <x:f>M36-L36</x:f>
        <x:v>0</x:v>
      </x:c>
      <x:c r="O36" s="24" t="str">
        <x:f>IF(N36=0,"OK","REVIEW")</x:f>
        <x:v>OK</x:v>
      </x:c>
    </x:row>
    <x:row r="37">
      <x:c r="H37" s="24" t="str">
        <x:v>DOC000133</x:v>
      </x:c>
      <x:c r="I37" s="24" t="str">
        <x:v>2025-11-07</x:v>
      </x:c>
      <x:c r="J37" s="24" t="str">
        <x:v>اوردري</x:v>
      </x:c>
      <x:c r="K37" s="24" t="n">
        <x:v>1</x:v>
      </x:c>
      <x:c r="L37" s="28" t="n">
        <x:v>1410000</x:v>
      </x:c>
      <x:c r="M37" s="28" t="n">
        <x:v>1410000</x:v>
      </x:c>
      <x:c r="N37" s="28" t="n">
        <x:f>M37-L37</x:f>
        <x:v>0</x:v>
      </x:c>
      <x:c r="O37" s="24" t="str">
        <x:f>IF(N37=0,"OK","REVIEW")</x:f>
        <x:v>OK</x:v>
      </x:c>
    </x:row>
    <x:row r="38">
      <x:c r="H38" s="24" t="str">
        <x:v>DOC000134</x:v>
      </x:c>
      <x:c r="I38" s="24" t="str">
        <x:v>2025-12-24</x:v>
      </x:c>
      <x:c r="J38" s="24" t="str">
        <x:v>علي بابا</x:v>
      </x:c>
      <x:c r="K38" s="24" t="n">
        <x:v>1</x:v>
      </x:c>
      <x:c r="L38" s="28" t="n">
        <x:v>691500</x:v>
      </x:c>
      <x:c r="M38" s="28" t="n">
        <x:v>691500</x:v>
      </x:c>
      <x:c r="N38" s="28" t="n">
        <x:f>M38-L38</x:f>
        <x:v>0</x:v>
      </x:c>
      <x:c r="O38" s="24" t="str">
        <x:f>IF(N38=0,"OK","REVIEW")</x:f>
        <x:v>OK</x:v>
      </x:c>
    </x:row>
    <x:row r="39">
      <x:c r="H39" s="24" t="str">
        <x:v>DOC000135</x:v>
      </x:c>
      <x:c r="I39" s="24" t="str">
        <x:v>2026-02-17</x:v>
      </x:c>
      <x:c r="J39" s="24" t="str">
        <x:v>علي بابا</x:v>
      </x:c>
      <x:c r="K39" s="24" t="n">
        <x:v>3</x:v>
      </x:c>
      <x:c r="L39" s="28" t="n">
        <x:v>1495000</x:v>
      </x:c>
      <x:c r="M39" s="28" t="n">
        <x:v>1495000</x:v>
      </x:c>
      <x:c r="N39" s="28" t="n">
        <x:f>M39-L39</x:f>
        <x:v>0</x:v>
      </x:c>
      <x:c r="O39" s="24" t="str">
        <x:f>IF(N39=0,"OK","REVIEW")</x:f>
        <x:v>OK</x:v>
      </x:c>
    </x:row>
    <x:row r="40">
      <x:c r="H40" s="24" t="str">
        <x:v>DOC000136</x:v>
      </x:c>
      <x:c r="I40" s="24" t="str">
        <x:v>2026-02-01</x:v>
      </x:c>
      <x:c r="J40" s="24" t="str">
        <x:v>جهى برا</x:v>
      </x:c>
      <x:c r="K40" s="24" t="n">
        <x:v>7</x:v>
      </x:c>
      <x:c r="L40" s="28" t="n">
        <x:v>371995</x:v>
      </x:c>
      <x:c r="M40" s="28" t="n">
        <x:v>371995</x:v>
      </x:c>
      <x:c r="N40" s="28" t="n">
        <x:f>M40-L40</x:f>
        <x:v>0</x:v>
      </x:c>
      <x:c r="O40" s="24" t="str">
        <x:f>IF(N40=0,"OK","REVIEW")</x:f>
        <x:v>OK</x:v>
      </x:c>
    </x:row>
    <x:row r="41">
      <x:c r="H41" s="24" t="str">
        <x:v>DOC000137</x:v>
      </x:c>
      <x:c r="I41" s="24" t="str">
        <x:v>2025-12-31</x:v>
      </x:c>
      <x:c r="J41" s="24" t="str">
        <x:v>كوكل</x:v>
      </x:c>
      <x:c r="K41" s="24" t="n">
        <x:v>1</x:v>
      </x:c>
      <x:c r="L41" s="28" t="n">
        <x:v>40200</x:v>
      </x:c>
      <x:c r="M41" s="28" t="n">
        <x:v>40200</x:v>
      </x:c>
      <x:c r="N41" s="28" t="n">
        <x:f>M41-L41</x:f>
        <x:v>0</x:v>
      </x:c>
      <x:c r="O41" s="24" t="str">
        <x:f>IF(N41=0,"OK","REVIEW")</x:f>
        <x:v>OK</x:v>
      </x:c>
    </x:row>
    <x:row r="42">
      <x:c r="H42" s="24" t="str">
        <x:v>DOC000138</x:v>
      </x:c>
      <x:c r="I42" s="24" t="str">
        <x:v>2026-01-31</x:v>
      </x:c>
      <x:c r="J42" s="24" t="str">
        <x:v>كوكل</x:v>
      </x:c>
      <x:c r="K42" s="24" t="n">
        <x:v>1</x:v>
      </x:c>
      <x:c r="L42" s="28" t="n">
        <x:v>8174</x:v>
      </x:c>
      <x:c r="M42" s="28" t="n">
        <x:v>8174</x:v>
      </x:c>
      <x:c r="N42" s="28" t="n">
        <x:f>M42-L42</x:f>
        <x:v>0</x:v>
      </x:c>
      <x:c r="O42" s="24" t="str">
        <x:f>IF(N42=0,"OK","REVIEW")</x:f>
        <x:v>OK</x:v>
      </x:c>
    </x:row>
    <x:row r="43">
      <x:c r="H43" s="24" t="str">
        <x:v>DOC000139</x:v>
      </x:c>
      <x:c r="I43" s="24" t="str">
        <x:v>2026-02-28</x:v>
      </x:c>
      <x:c r="J43" s="24" t="str">
        <x:v>كوكل</x:v>
      </x:c>
      <x:c r="K43" s="24" t="n">
        <x:v>1</x:v>
      </x:c>
      <x:c r="L43" s="28" t="n">
        <x:v>8442</x:v>
      </x:c>
      <x:c r="M43" s="28" t="n">
        <x:v>8442</x:v>
      </x:c>
      <x:c r="N43" s="28" t="n">
        <x:f>M43-L43</x:f>
        <x:v>0</x:v>
      </x:c>
      <x:c r="O43" s="24" t="str">
        <x:f>IF(N43=0,"OK","REVIEW")</x:f>
        <x:v>OK</x:v>
      </x:c>
    </x:row>
    <x:row r="44">
      <x:c r="H44" s="24" t="str">
        <x:v>DOC000140</x:v>
      </x:c>
      <x:c r="I44" s="24" t="str">
        <x:v>2026-03-31</x:v>
      </x:c>
      <x:c r="J44" s="24" t="str">
        <x:v>كوكل</x:v>
      </x:c>
      <x:c r="K44" s="24" t="n">
        <x:v>1</x:v>
      </x:c>
      <x:c r="L44" s="28" t="n">
        <x:v>8442</x:v>
      </x:c>
      <x:c r="M44" s="28" t="n">
        <x:v>8442</x:v>
      </x:c>
      <x:c r="N44" s="28" t="n">
        <x:f>M44-L44</x:f>
        <x:v>0</x:v>
      </x:c>
      <x:c r="O44" s="24" t="str">
        <x:f>IF(N44=0,"OK","REVIEW")</x:f>
        <x:v>OK</x:v>
      </x:c>
    </x:row>
    <x:row r="45">
      <x:c r="H45" s="24" t="str">
        <x:v>DOC000141</x:v>
      </x:c>
      <x:c r="I45" s="24" t="str">
        <x:v>2025-10-26</x:v>
      </x:c>
      <x:c r="J45" s="24" t="str">
        <x:v>جهى برا</x:v>
      </x:c>
      <x:c r="K45" s="24" t="n">
        <x:v>5</x:v>
      </x:c>
      <x:c r="L45" s="28" t="n">
        <x:v>110000</x:v>
      </x:c>
      <x:c r="M45" s="28" t="n">
        <x:v>110000</x:v>
      </x:c>
      <x:c r="N45" s="28" t="n">
        <x:f>M45-L45</x:f>
        <x:v>0</x:v>
      </x:c>
      <x:c r="O45" s="24" t="str">
        <x:f>IF(N45=0,"OK","REVIEW")</x:f>
        <x:v>OK</x:v>
      </x:c>
    </x:row>
    <x:row r="46">
      <x:c r="H46" s="24" t="str">
        <x:v>DOC000142</x:v>
      </x:c>
      <x:c r="I46" s="24" t="str">
        <x:v>2026-04-04</x:v>
      </x:c>
      <x:c r="J46" s="24" t="str">
        <x:v>اودو</x:v>
      </x:c>
      <x:c r="K46" s="24" t="n">
        <x:v>1</x:v>
      </x:c>
      <x:c r="L46" s="28" t="n">
        <x:v>174200</x:v>
      </x:c>
      <x:c r="M46" s="28" t="n">
        <x:v>174200</x:v>
      </x:c>
      <x:c r="N46" s="28" t="n">
        <x:f>M46-L46</x:f>
        <x:v>0</x:v>
      </x:c>
      <x:c r="O46" s="24" t="str">
        <x:f>IF(N46=0,"OK","REVIEW")</x:f>
        <x:v>OK</x:v>
      </x:c>
    </x:row>
    <x:row r="47">
      <x:c r="H47" s="24" t="str">
        <x:v>DOC000143</x:v>
      </x:c>
      <x:c r="I47" s="24" t="str">
        <x:v>2026-03-14</x:v>
      </x:c>
      <x:c r="J47" s="24" t="str">
        <x:v>اوس اكثم</x:v>
      </x:c>
      <x:c r="K47" s="24" t="n">
        <x:v>1</x:v>
      </x:c>
      <x:c r="L47" s="28" t="n">
        <x:v>570000</x:v>
      </x:c>
      <x:c r="M47" s="28" t="n">
        <x:v>570000</x:v>
      </x:c>
      <x:c r="N47" s="28" t="n">
        <x:f>M47-L47</x:f>
        <x:v>0</x:v>
      </x:c>
      <x:c r="O47" s="24" t="str">
        <x:f>IF(N47=0,"OK","REVIEW")</x:f>
        <x:v>OK</x:v>
      </x:c>
    </x:row>
    <x:row r="48">
      <x:c r="H48" s="24" t="str">
        <x:v>DOC000144</x:v>
      </x:c>
      <x:c r="I48" s="24" t="str">
        <x:v>2026-04-01</x:v>
      </x:c>
      <x:c r="J48" s="24" t="str">
        <x:v>سولو ستوديو</x:v>
      </x:c>
      <x:c r="K48" s="24" t="n">
        <x:v>1</x:v>
      </x:c>
      <x:c r="L48" s="28" t="n">
        <x:v>3500000</x:v>
      </x:c>
      <x:c r="M48" s="28" t="n">
        <x:v>3500000</x:v>
      </x:c>
      <x:c r="N48" s="28" t="n">
        <x:f>M48-L48</x:f>
        <x:v>0</x:v>
      </x:c>
      <x:c r="O48" s="24" t="str">
        <x:f>IF(N48=0,"OK","REVIEW")</x:f>
        <x:v>OK</x:v>
      </x:c>
    </x:row>
    <x:row r="49">
      <x:c r="H49" s="24" t="str">
        <x:v>DOC000145</x:v>
      </x:c>
      <x:c r="I49" s="24" t="str">
        <x:v>2026-01-05</x:v>
      </x:c>
      <x:c r="J49" s="24" t="str">
        <x:v>جهى برا</x:v>
      </x:c>
      <x:c r="K49" s="24" t="n">
        <x:v>1</x:v>
      </x:c>
      <x:c r="L49" s="28" t="n">
        <x:v>30000</x:v>
      </x:c>
      <x:c r="M49" s="28" t="n">
        <x:v>30000</x:v>
      </x:c>
      <x:c r="N49" s="28" t="n">
        <x:f>M49-L49</x:f>
        <x:v>0</x:v>
      </x:c>
      <x:c r="O49" s="24" t="str">
        <x:f>IF(N49=0,"OK","REVIEW")</x:f>
        <x:v>OK</x:v>
      </x:c>
    </x:row>
    <x:row r="50">
      <x:c r="H50" s="24" t="str">
        <x:v>DOC000146</x:v>
      </x:c>
      <x:c r="I50" s="24" t="str">
        <x:v>2026-01-19</x:v>
      </x:c>
      <x:c r="J50" s="24" t="str">
        <x:v>معمل بلاستك الصريح</x:v>
      </x:c>
      <x:c r="K50" s="24" t="n">
        <x:v>1</x:v>
      </x:c>
      <x:c r="L50" s="28" t="n">
        <x:v>50000</x:v>
      </x:c>
      <x:c r="M50" s="28" t="n">
        <x:v>50000</x:v>
      </x:c>
      <x:c r="N50" s="28" t="n">
        <x:f>M50-L50</x:f>
        <x:v>0</x:v>
      </x:c>
      <x:c r="O50" s="24" t="str">
        <x:f>IF(N50=0,"OK","REVIEW")</x:f>
        <x:v>OK</x:v>
      </x:c>
    </x:row>
    <x:row r="51">
      <x:c r="H51" s="24" t="str">
        <x:v>DOC000147</x:v>
      </x:c>
      <x:c r="I51" s="24" t="str">
        <x:v>2026-01-19</x:v>
      </x:c>
      <x:c r="J51" s="24" t="str">
        <x:v>مكائن سيف</x:v>
      </x:c>
      <x:c r="K51" s="24" t="n">
        <x:v>1</x:v>
      </x:c>
      <x:c r="L51" s="28" t="n">
        <x:v>150000</x:v>
      </x:c>
      <x:c r="M51" s="28" t="n">
        <x:v>150000</x:v>
      </x:c>
      <x:c r="N51" s="28" t="n">
        <x:f>M51-L51</x:f>
        <x:v>0</x:v>
      </x:c>
      <x:c r="O51" s="24" t="str">
        <x:f>IF(N51=0,"OK","REVIEW")</x:f>
        <x:v>OK</x:v>
      </x:c>
    </x:row>
    <x:row r="52">
      <x:c r="H52" s="24" t="str">
        <x:v>DOC000148</x:v>
      </x:c>
      <x:c r="I52" s="24" t="str">
        <x:v>2026-04-06</x:v>
      </x:c>
      <x:c r="J52" s="24" t="str">
        <x:v>دكتور ريكلام</x:v>
      </x:c>
      <x:c r="K52" s="24" t="n">
        <x:v>1</x:v>
      </x:c>
      <x:c r="L52" s="28" t="n">
        <x:v>185000</x:v>
      </x:c>
      <x:c r="M52" s="28" t="n">
        <x:v>185000</x:v>
      </x:c>
      <x:c r="N52" s="28" t="n">
        <x:f>M52-L52</x:f>
        <x:v>0</x:v>
      </x:c>
      <x:c r="O52" s="24" t="str">
        <x:f>IF(N52=0,"OK","REVIEW")</x:f>
        <x:v>OK</x:v>
      </x:c>
    </x:row>
    <x:row r="53">
      <x:c r="H53" s="24" t="str">
        <x:v>DOC000149</x:v>
      </x:c>
      <x:c r="I53" s="24" t="str">
        <x:v>2026-04-27</x:v>
      </x:c>
      <x:c r="J53" s="24" t="str">
        <x:v>شركة ئافيستا</x:v>
      </x:c>
      <x:c r="K53" s="24" t="n">
        <x:v>1</x:v>
      </x:c>
      <x:c r="L53" s="28" t="n">
        <x:v>93000</x:v>
      </x:c>
      <x:c r="M53" s="28" t="n">
        <x:v>93000</x:v>
      </x:c>
      <x:c r="N53" s="28" t="n">
        <x:f>M53-L53</x:f>
        <x:v>0</x:v>
      </x:c>
      <x:c r="O53" s="24" t="str">
        <x:f>IF(N53=0,"OK","REVIEW")</x:f>
        <x:v>OK</x:v>
      </x:c>
    </x:row>
    <x:row r="54">
      <x:c r="H54" s="24" t="str">
        <x:v>DOC000150</x:v>
      </x:c>
      <x:c r="I54" s="24" t="str">
        <x:v>2026-04-27</x:v>
      </x:c>
      <x:c r="J54" s="24" t="str">
        <x:v>قرطاسية بيكس</x:v>
      </x:c>
      <x:c r="K54" s="24" t="n">
        <x:v>1</x:v>
      </x:c>
      <x:c r="L54" s="28" t="n">
        <x:v>40000</x:v>
      </x:c>
      <x:c r="M54" s="28" t="n">
        <x:v>40000</x:v>
      </x:c>
      <x:c r="N54" s="28" t="n">
        <x:f>M54-L54</x:f>
        <x:v>0</x:v>
      </x:c>
      <x:c r="O54" s="24" t="str">
        <x:f>IF(N54=0,"OK","REVIEW")</x:f>
        <x:v>OK</x:v>
      </x:c>
    </x:row>
    <x:row r="55">
      <x:c r="H55" s="24" t="str">
        <x:v>DOC000151</x:v>
      </x:c>
      <x:c r="I55" s="24" t="str">
        <x:v>2026-04-28</x:v>
      </x:c>
      <x:c r="J55" s="24" t="str">
        <x:v>اسيا سيل</x:v>
      </x:c>
      <x:c r="K55" s="24" t="n">
        <x:v>1</x:v>
      </x:c>
      <x:c r="L55" s="28" t="n">
        <x:v>40000</x:v>
      </x:c>
      <x:c r="M55" s="28" t="n">
        <x:v>40000</x:v>
      </x:c>
      <x:c r="N55" s="28" t="n">
        <x:f>M55-L55</x:f>
        <x:v>0</x:v>
      </x:c>
      <x:c r="O55" s="24" t="str">
        <x:f>IF(N55=0,"OK","REVIEW")</x:f>
        <x:v>OK</x:v>
      </x:c>
    </x:row>
    <x:row r="56">
      <x:c r="H56" s="24" t="str">
        <x:v>DOC000152</x:v>
      </x:c>
      <x:c r="I56" s="24" t="str">
        <x:v>2026-05-09</x:v>
      </x:c>
      <x:c r="J56" s="24" t="str">
        <x:v>جهى برا</x:v>
      </x:c>
      <x:c r="K56" s="24" t="n">
        <x:v>1</x:v>
      </x:c>
      <x:c r="L56" s="28" t="n">
        <x:v>7000</x:v>
      </x:c>
      <x:c r="M56" s="28" t="n">
        <x:v>7000</x:v>
      </x:c>
      <x:c r="N56" s="28" t="n">
        <x:f>M56-L56</x:f>
        <x:v>0</x:v>
      </x:c>
      <x:c r="O56" s="24" t="str">
        <x:f>IF(N56=0,"OK","REVIEW")</x:f>
        <x:v>OK</x:v>
      </x:c>
    </x:row>
    <x:row r="57">
      <x:c r="H57" s="24" t="str">
        <x:v>DOC000153</x:v>
      </x:c>
      <x:c r="I57" s="24" t="str">
        <x:v>2026-05-01</x:v>
      </x:c>
      <x:c r="J57" s="24" t="str">
        <x:v>علي للتكنلوجيا الحديثة</x:v>
      </x:c>
      <x:c r="K57" s="24" t="n">
        <x:v>1</x:v>
      </x:c>
      <x:c r="L57" s="28" t="n">
        <x:v>20000</x:v>
      </x:c>
      <x:c r="M57" s="28" t="n">
        <x:v>20000</x:v>
      </x:c>
      <x:c r="N57" s="28" t="n">
        <x:f>M57-L57</x:f>
        <x:v>0</x:v>
      </x:c>
      <x:c r="O57" s="24" t="str">
        <x:f>IF(N57=0,"OK","REVIEW")</x:f>
        <x:v>OK</x:v>
      </x:c>
    </x:row>
    <x:row r="58">
      <x:c r="H58" s="24" t="str">
        <x:v>DOC000154</x:v>
      </x:c>
      <x:c r="I58" s="24" t="str">
        <x:v>2026-05-06</x:v>
      </x:c>
      <x:c r="J58" s="24" t="str">
        <x:v>شيمال كروب</x:v>
      </x:c>
      <x:c r="K58" s="24" t="n">
        <x:v>1</x:v>
      </x:c>
      <x:c r="L58" s="28" t="n">
        <x:v>240000</x:v>
      </x:c>
      <x:c r="M58" s="28" t="n">
        <x:v>240000</x:v>
      </x:c>
      <x:c r="N58" s="28" t="n">
        <x:f>M58-L58</x:f>
        <x:v>0</x:v>
      </x:c>
      <x:c r="O58" s="24" t="str">
        <x:f>IF(N58=0,"OK","REVIEW")</x:f>
        <x:v>OK</x:v>
      </x:c>
    </x:row>
    <x:row r="59">
      <x:c r="H59" s="24" t="str">
        <x:v>DOC000155</x:v>
      </x:c>
      <x:c r="I59" s="24" t="str">
        <x:v>2026-05-09</x:v>
      </x:c>
      <x:c r="J59" s="24" t="str">
        <x:v>سولو ستوديو</x:v>
      </x:c>
      <x:c r="K59" s="24" t="n">
        <x:v>1</x:v>
      </x:c>
      <x:c r="L59" s="28" t="n">
        <x:v>1000000</x:v>
      </x:c>
      <x:c r="M59" s="28" t="n">
        <x:v>1000000</x:v>
      </x:c>
      <x:c r="N59" s="28" t="n">
        <x:f>M59-L59</x:f>
        <x:v>0</x:v>
      </x:c>
      <x:c r="O59" s="24" t="str">
        <x:f>IF(N59=0,"OK","REVIEW")</x:f>
        <x:v>OK</x:v>
      </x:c>
    </x:row>
    <x:row r="60">
      <x:c r="H60" s="24" t="str">
        <x:v>DOC000156</x:v>
      </x:c>
      <x:c r="I60" s="24" t="str">
        <x:v>2026-04-30</x:v>
      </x:c>
      <x:c r="J60" s="24" t="str">
        <x:v>كوكل</x:v>
      </x:c>
      <x:c r="K60" s="24" t="n">
        <x:v>1</x:v>
      </x:c>
      <x:c r="L60" s="28" t="n">
        <x:v>8442</x:v>
      </x:c>
      <x:c r="M60" s="28" t="n">
        <x:v>8442</x:v>
      </x:c>
      <x:c r="N60" s="28" t="n">
        <x:f>M60-L60</x:f>
        <x:v>0</x:v>
      </x:c>
      <x:c r="O60" s="24" t="str">
        <x:f>IF(N60=0,"OK","REVIEW")</x:f>
        <x:v>OK</x:v>
      </x:c>
    </x:row>
    <x:row r="61">
      <x:c r="H61" s="24" t="str">
        <x:v>DOC000157</x:v>
      </x:c>
      <x:c r="I61" s="24" t="str">
        <x:v>2026-05-13</x:v>
      </x:c>
      <x:c r="J61" s="24" t="str">
        <x:v>قهوة السرحان</x:v>
      </x:c>
      <x:c r="K61" s="24" t="n">
        <x:v>1</x:v>
      </x:c>
      <x:c r="L61" s="28" t="n">
        <x:v>750000</x:v>
      </x:c>
      <x:c r="M61" s="28" t="n">
        <x:v>750000</x:v>
      </x:c>
      <x:c r="N61" s="28" t="n">
        <x:f>M61-L61</x:f>
        <x:v>0</x:v>
      </x:c>
      <x:c r="O61" s="24" t="str">
        <x:f>IF(N61=0,"OK","REVIEW")</x:f>
        <x:v>OK</x:v>
      </x:c>
    </x:row>
    <x:row r="62">
      <x:c r="H62" s="24" t="str">
        <x:v>DOC000158</x:v>
      </x:c>
      <x:c r="I62" s="24" t="str">
        <x:v>2026-05-14</x:v>
      </x:c>
      <x:c r="J62" s="24" t="str">
        <x:v>عقارات نعمان عولا حاجى</x:v>
      </x:c>
      <x:c r="K62" s="24" t="n">
        <x:v>1</x:v>
      </x:c>
      <x:c r="L62" s="28" t="n">
        <x:v>200000</x:v>
      </x:c>
      <x:c r="M62" s="28" t="n">
        <x:v>200000</x:v>
      </x:c>
      <x:c r="N62" s="28" t="n">
        <x:f>M62-L62</x:f>
        <x:v>0</x:v>
      </x:c>
      <x:c r="O62" s="24" t="str">
        <x:f>IF(N62=0,"OK","REVIEW")</x:f>
        <x:v>OK</x:v>
      </x:c>
    </x:row>
    <x:row r="63">
      <x:c r="H63" s="24" t="str">
        <x:v>DOC000159</x:v>
      </x:c>
      <x:c r="I63" s="24" t="str">
        <x:v>2026-05-15</x:v>
      </x:c>
      <x:c r="J63" s="24" t="str">
        <x:v>عقارات جراى زين</x:v>
      </x:c>
      <x:c r="K63" s="24" t="n">
        <x:v>1</x:v>
      </x:c>
      <x:c r="L63" s="28" t="n">
        <x:v>375000</x:v>
      </x:c>
      <x:c r="M63" s="28" t="n">
        <x:v>375000</x:v>
      </x:c>
      <x:c r="N63" s="28" t="n">
        <x:f>M63-L63</x:f>
        <x:v>0</x:v>
      </x:c>
      <x:c r="O63" s="24" t="str">
        <x:f>IF(N63=0,"OK","REVIEW")</x:f>
        <x:v>OK</x:v>
      </x:c>
    </x:row>
    <x:row r="64">
      <x:c r="H64" s="24" t="str">
        <x:v>DOC000160</x:v>
      </x:c>
      <x:c r="I64" s="24" t="str">
        <x:v>2026-05-15</x:v>
      </x:c>
      <x:c r="J64" s="24" t="str">
        <x:v>شوشه واتى مالى زه نكين</x:v>
      </x:c>
      <x:c r="K64" s="24" t="n">
        <x:v>1</x:v>
      </x:c>
      <x:c r="L64" s="28" t="n">
        <x:v>30000</x:v>
      </x:c>
      <x:c r="M64" s="28" t="n">
        <x:v>30000</x:v>
      </x:c>
      <x:c r="N64" s="28" t="n">
        <x:f>M64-L64</x:f>
        <x:v>0</x:v>
      </x:c>
      <x:c r="O64" s="24" t="str">
        <x:f>IF(N64=0,"OK","REVIEW")</x:f>
        <x:v>OK</x:v>
      </x:c>
    </x:row>
    <x:row r="65">
      <x:c r="H65" s="24" t="str">
        <x:v>DOC000161</x:v>
      </x:c>
      <x:c r="I65" s="24" t="str">
        <x:v>2026-05-14</x:v>
      </x:c>
      <x:c r="J65" s="24" t="str">
        <x:v>حذيفة عماد</x:v>
      </x:c>
      <x:c r="K65" s="24" t="n">
        <x:v>2</x:v>
      </x:c>
      <x:c r="L65" s="28" t="n">
        <x:v>206000</x:v>
      </x:c>
      <x:c r="M65" s="28" t="n">
        <x:v>206000</x:v>
      </x:c>
      <x:c r="N65" s="28" t="n">
        <x:f>M65-L65</x:f>
        <x:v>0</x:v>
      </x:c>
      <x:c r="O65" s="24" t="str">
        <x:f>IF(N65=0,"OK","REVIEW")</x:f>
        <x:v>OK</x:v>
      </x:c>
    </x:row>
    <x:row r="66">
      <x:c r="H66" s="24" t="str">
        <x:v>DOC000162</x:v>
      </x:c>
      <x:c r="I66" s="24" t="str">
        <x:v>2026-05-25</x:v>
      </x:c>
      <x:c r="J66" s="24" t="str">
        <x:v>نجيرفان ماموستيان</x:v>
      </x:c>
      <x:c r="K66" s="24" t="n">
        <x:v>1</x:v>
      </x:c>
      <x:c r="L66" s="28" t="n">
        <x:v>1531000</x:v>
      </x:c>
      <x:c r="M66" s="28" t="n">
        <x:v>1531000</x:v>
      </x:c>
      <x:c r="N66" s="28" t="n">
        <x:f>M66-L66</x:f>
        <x:v>0</x:v>
      </x:c>
      <x:c r="O66" s="24" t="str">
        <x:f>IF(N66=0,"OK","REVIEW")</x:f>
        <x:v>OK</x:v>
      </x:c>
    </x:row>
    <x:row r="67">
      <x:c r="H67" s="24" t="str">
        <x:v>DOC000163</x:v>
      </x:c>
      <x:c r="I67" s="24" t="str">
        <x:v>2026-06-04</x:v>
      </x:c>
      <x:c r="J67" s="24" t="str">
        <x:v>اوس اكثم</x:v>
      </x:c>
      <x:c r="K67" s="24" t="n">
        <x:v>1</x:v>
      </x:c>
      <x:c r="L67" s="28" t="n">
        <x:v>840000</x:v>
      </x:c>
      <x:c r="M67" s="28" t="n">
        <x:v>840000</x:v>
      </x:c>
      <x:c r="N67" s="28" t="n">
        <x:f>M67-L67</x:f>
        <x:v>0</x:v>
      </x:c>
      <x:c r="O67" s="24" t="str">
        <x:f>IF(N67=0,"OK","REVIEW")</x:f>
        <x:v>OK</x:v>
      </x:c>
    </x:row>
    <x:row r="68">
      <x:c r="H68" s="24" t="str">
        <x:v>DOC000164</x:v>
      </x:c>
      <x:c r="I68" s="24" t="str">
        <x:v>2026-06-10</x:v>
      </x:c>
      <x:c r="J68" s="24" t="str">
        <x:v>ابو مصطفى</x:v>
      </x:c>
      <x:c r="K68" s="24" t="n">
        <x:v>1</x:v>
      </x:c>
      <x:c r="L68" s="28" t="n">
        <x:v>50000</x:v>
      </x:c>
      <x:c r="M68" s="28" t="n">
        <x:v>50000</x:v>
      </x:c>
      <x:c r="N68" s="28" t="n">
        <x:f>M68-L68</x:f>
        <x:v>0</x:v>
      </x:c>
      <x:c r="O68" s="24" t="str">
        <x:f>IF(N68=0,"OK","REVIEW")</x:f>
        <x:v>OK</x:v>
      </x:c>
    </x:row>
    <x:row r="69">
      <x:c r="H69" s="24" t="str">
        <x:v>DOC000165</x:v>
      </x:c>
      <x:c r="I69" s="24" t="str">
        <x:v>2026-06-10</x:v>
      </x:c>
      <x:c r="J69" s="24" t="str">
        <x:v>عقارات نعمان عولا حاجى</x:v>
      </x:c>
      <x:c r="K69" s="24" t="n">
        <x:v>1</x:v>
      </x:c>
      <x:c r="L69" s="28" t="n">
        <x:v>200000</x:v>
      </x:c>
      <x:c r="M69" s="28" t="n">
        <x:v>200000</x:v>
      </x:c>
      <x:c r="N69" s="28" t="n">
        <x:f>M69-L69</x:f>
        <x:v>0</x:v>
      </x:c>
      <x:c r="O69" s="24" t="str">
        <x:f>IF(N69=0,"OK","REVIEW")</x:f>
        <x:v>OK</x:v>
      </x:c>
    </x:row>
    <x:row r="70">
      <x:c r="H70" s="24" t="str">
        <x:v>DOC000166</x:v>
      </x:c>
      <x:c r="I70" s="24" t="str">
        <x:v>2026-06-09</x:v>
      </x:c>
      <x:c r="J70" s="24" t="str">
        <x:v>اسيا سيل</x:v>
      </x:c>
      <x:c r="K70" s="24" t="n">
        <x:v>1</x:v>
      </x:c>
      <x:c r="L70" s="28" t="n">
        <x:v>23000</x:v>
      </x:c>
      <x:c r="M70" s="28" t="n">
        <x:v>23000</x:v>
      </x:c>
      <x:c r="N70" s="28" t="n">
        <x:f>M70-L70</x:f>
        <x:v>0</x:v>
      </x:c>
      <x:c r="O70" s="24" t="str">
        <x:f>IF(N70=0,"OK","REVIEW")</x:f>
        <x:v>OK</x:v>
      </x:c>
    </x:row>
    <x:row r="71">
      <x:c r="H71" s="24" t="str">
        <x:v>DOC000167</x:v>
      </x:c>
      <x:c r="I71" s="24" t="str">
        <x:v>2026-06-09</x:v>
      </x:c>
      <x:c r="J71" s="24" t="str">
        <x:v>عقارات جراى زين</x:v>
      </x:c>
      <x:c r="K71" s="24" t="n">
        <x:v>1</x:v>
      </x:c>
      <x:c r="L71" s="28" t="n">
        <x:v>250000</x:v>
      </x:c>
      <x:c r="M71" s="28" t="n">
        <x:v>250000</x:v>
      </x:c>
      <x:c r="N71" s="28" t="n">
        <x:f>M71-L71</x:f>
        <x:v>0</x:v>
      </x:c>
      <x:c r="O71" s="24" t="str">
        <x:f>IF(N71=0,"OK","REVIEW")</x:f>
        <x:v>OK</x:v>
      </x:c>
    </x:row>
    <x:row r="72">
      <x:c r="H72" s="24" t="str">
        <x:v>DOC000168</x:v>
      </x:c>
      <x:c r="I72" s="24" t="str">
        <x:v>2026-06-15</x:v>
      </x:c>
      <x:c r="J72" s="24" t="str">
        <x:v>نجيرفان ماموستيان</x:v>
      </x:c>
      <x:c r="K72" s="24" t="n">
        <x:v>1</x:v>
      </x:c>
      <x:c r="L72" s="28" t="n">
        <x:v>3309000</x:v>
      </x:c>
      <x:c r="M72" s="28" t="n">
        <x:v>3309000</x:v>
      </x:c>
      <x:c r="N72" s="28" t="n">
        <x:f>M72-L72</x:f>
        <x:v>0</x:v>
      </x:c>
      <x:c r="O72" s="24" t="str">
        <x:f>IF(N72=0,"OK","REVIEW")</x:f>
        <x:v>OK</x:v>
      </x:c>
    </x:row>
  </x:sheetData>
  <x:mergeCells>
    <x:mergeCell ref="A1:F2"/>
    <x:mergeCell ref="A3:F3"/>
    <x:mergeCell ref="D5:F5"/>
  </x:mergeCells>
  <x:conditionalFormatting sqref="F7:F10">
    <x:cfRule type="containsText" dxfId="0" priority="1" operator="containsText" text="OK"/>
    <x:cfRule type="containsText" dxfId="1" priority="2" operator="containsText" text="REVIEW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" hidden="0" customWidth="1"/>
    <x:col min="3" max="3" width="14" hidden="0" customWidth="1"/>
    <x:col min="4" max="4" width="24" hidden="0" customWidth="1"/>
    <x:col min="5" max="5" width="21" hidden="0" customWidth="1"/>
    <x:col min="6" max="6" width="16" hidden="0" customWidth="1"/>
    <x:col min="7" max="7" width="16" hidden="0" customWidth="1"/>
    <x:col min="8" max="8" width="30" hidden="0" customWidth="1"/>
    <x:col min="9" max="9" width="19" hidden="0" customWidth="1"/>
    <x:col min="10" max="10" width="19" hidden="0" customWidth="1"/>
    <x:col min="11" max="11" width="19" hidden="0" customWidth="1"/>
    <x:col min="12" max="12" width="24" hidden="0" customWidth="1"/>
    <x:col min="13" max="13" width="13" hidden="0" customWidth="1"/>
    <x:col min="14" max="14" width="13" hidden="0" customWidth="1"/>
    <x:col min="15" max="15" width="18" hidden="0" customWidth="1"/>
    <x:col min="16" max="16" width="18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44" hidden="0" customWidth="1"/>
  </x:cols>
  <x:sheetData>
    <x:row r="1" ht="34" customHeight="1">
      <x:c r="A1" s="3" t="str">
        <x:v>Ready to Import | Purchases</x:v>
      </x:c>
      <x:c r="B1" s="3" t="str">
        <x:v>Ready to Import | Purchases</x:v>
      </x:c>
      <x:c r="C1" s="3" t="str">
        <x:v>Ready to Import | Purchases</x:v>
      </x:c>
      <x:c r="D1" s="3" t="str">
        <x:v>Ready to Import | Purchases</x:v>
      </x:c>
      <x:c r="E1" s="3" t="str">
        <x:v>Ready to Import | Purchases</x:v>
      </x:c>
      <x:c r="F1" s="3" t="str">
        <x:v>Ready to Import | Purchases</x:v>
      </x:c>
      <x:c r="G1" s="3" t="str">
        <x:v>Ready to Import | Purchases</x:v>
      </x:c>
      <x:c r="H1" s="3" t="str">
        <x:v>Ready to Import | Purchases</x:v>
      </x:c>
      <x:c r="I1" s="3" t="str">
        <x:v>Ready to Import | Purchases</x:v>
      </x:c>
      <x:c r="J1" s="3" t="str">
        <x:v>Ready to Import | Purchases</x:v>
      </x:c>
      <x:c r="K1" s="3" t="str">
        <x:v>Ready to Import | Purchases</x:v>
      </x:c>
      <x:c r="L1" s="3" t="str">
        <x:v>Ready to Import | Purchases</x:v>
      </x:c>
      <x:c r="M1" s="3" t="str">
        <x:v>Ready to Import | Purchases</x:v>
      </x:c>
      <x:c r="N1" s="3" t="str">
        <x:v>Ready to Import | Purchases</x:v>
      </x:c>
      <x:c r="O1" s="3" t="str">
        <x:v>Ready to Import | Purchases</x:v>
      </x:c>
      <x:c r="P1" s="3" t="str">
        <x:v>Ready to Import | Purchases</x:v>
      </x:c>
      <x:c r="Q1" s="3" t="str">
        <x:v>Ready to Import | Purchases</x:v>
      </x:c>
      <x:c r="R1" s="3" t="str">
        <x:v>Ready to Import | Purchases</x:v>
      </x:c>
      <x:c r="S1" s="3" t="str">
        <x:v>Ready to Import | Purchases</x:v>
      </x:c>
      <x:c r="T1" s="3" t="str">
        <x:v>Ready to Import | Purchases</x:v>
      </x:c>
      <x:c r="U1" s="3" t="str">
        <x:v>Ready to Import | Purchases</x:v>
      </x:c>
      <x:c r="V1" s="3" t="str">
        <x:v>Ready to Import | Purchases</x:v>
      </x:c>
      <x:c r="W1" s="3" t="str">
        <x:v>Ready to Import | Purchases</x:v>
      </x:c>
      <x:c r="X1" s="3" t="str">
        <x:v>Ready to Import | Purchases</x:v>
      </x:c>
    </x:row>
    <x:row r="2" ht="32" customHeight="1">
      <x:c r="A2" s="27" t="str">
        <x:v>recordKey</x:v>
      </x:c>
      <x:c r="B2" s="27" t="str">
        <x:v>lineNo</x:v>
      </x:c>
      <x:c r="C2" s="27" t="str">
        <x:v>date</x:v>
      </x:c>
      <x:c r="D2" s="27" t="str">
        <x:v>supplier</x:v>
      </x:c>
      <x:c r="E2" s="27" t="str">
        <x:v>invoice</x:v>
      </x:c>
      <x:c r="F2" s="27" t="str">
        <x:v>reference</x:v>
      </x:c>
      <x:c r="G2" s="27" t="str">
        <x:v>itemType</x:v>
      </x:c>
      <x:c r="H2" s="27" t="str">
        <x:v>itemName</x:v>
      </x:c>
      <x:c r="I2" s="27" t="str">
        <x:v>expenseCategory</x:v>
      </x:c>
      <x:c r="J2" s="27" t="str">
        <x:v>inventoryCategory</x:v>
      </x:c>
      <x:c r="K2" s="27" t="str">
        <x:v>assetKey</x:v>
      </x:c>
      <x:c r="L2" s="27" t="str">
        <x:v>assetCategory</x:v>
      </x:c>
      <x:c r="M2" s="27" t="str">
        <x:v>quantity</x:v>
      </x:c>
      <x:c r="N2" s="27" t="str">
        <x:v>unit</x:v>
      </x:c>
      <x:c r="O2" s="27" t="str">
        <x:v>sourceUnitPrice</x:v>
      </x:c>
      <x:c r="P2" s="27" t="str">
        <x:v>sourceLineAmount</x:v>
      </x:c>
      <x:c r="Q2" s="27" t="str">
        <x:v>sourceCurrency</x:v>
      </x:c>
      <x:c r="R2" s="27" t="str">
        <x:v>rate</x:v>
      </x:c>
      <x:c r="S2" s="27" t="str">
        <x:v>lineAmountIqd</x:v>
      </x:c>
      <x:c r="T2" s="27" t="str">
        <x:v>invoiceTotalIqd</x:v>
      </x:c>
      <x:c r="U2" s="27" t="str">
        <x:v>paymentMode</x:v>
      </x:c>
      <x:c r="V2" s="27" t="str">
        <x:v>paymentAccount</x:v>
      </x:c>
      <x:c r="W2" s="27" t="str">
        <x:v>branchCode</x:v>
      </x:c>
      <x:c r="X2" s="27" t="str">
        <x:v>notes</x:v>
      </x:c>
    </x:row>
    <x:row r="3">
      <x:c r="A3" s="33" t="str">
        <x:v>DOC000100</x:v>
      </x:c>
      <x:c r="B3" s="34" t="n">
        <x:v>1</x:v>
      </x:c>
      <x:c r="C3" s="35" t="str">
        <x:v>2026-03-15</x:v>
      </x:c>
      <x:c r="D3" s="34" t="str">
        <x:v>بوابة الرافدين للبن الخام</x:v>
      </x:c>
      <x:c r="E3" s="33" t="str">
        <x:v>1572308</x:v>
      </x:c>
      <x:c r="F3" s="33" t="str">
        <x:v>DOC000100</x:v>
      </x:c>
      <x:c r="G3" s="34" t="str">
        <x:v>INVENTORY</x:v>
      </x:c>
      <x:c r="H3" s="34" t="str">
        <x:v>قهوة خام لقمتي اثيوبيا</x:v>
      </x:c>
      <x:c r="I3" s="34" t="str">
        <x:v>GREEN_COFFEE</x:v>
      </x:c>
      <x:c r="J3" s="34" t="str">
        <x:v>GREEN_COFFEE</x:v>
      </x:c>
      <x:c r="K3" s="34" t="str"/>
      <x:c r="L3" s="34" t="str"/>
      <x:c r="M3" s="36" t="n">
        <x:v>30</x:v>
      </x:c>
      <x:c r="N3" s="34" t="str">
        <x:v>kg</x:v>
      </x:c>
      <x:c r="O3" s="37" t="n">
        <x:v>10750</x:v>
      </x:c>
      <x:c r="P3" s="37" t="n">
        <x:v>322500</x:v>
      </x:c>
      <x:c r="Q3" s="37" t="str">
        <x:v>IQD</x:v>
      </x:c>
      <x:c r="R3" s="37" t="str"/>
      <x:c r="S3" s="37" t="n">
        <x:v>322500</x:v>
      </x:c>
      <x:c r="T3" s="37" t="n">
        <x:v>322500</x:v>
      </x:c>
      <x:c r="U3" s="34" t="str">
        <x:v>PAID</x:v>
      </x:c>
      <x:c r="V3" s="34" t="str">
        <x:v>Cash on Hands</x:v>
      </x:c>
      <x:c r="W3" s="34" t="str">
        <x:v>HQ</x:v>
      </x:c>
      <x:c r="X3" s="34" t="str"/>
    </x:row>
    <x:row r="4">
      <x:c r="A4" s="33" t="str">
        <x:v>DOC000101</x:v>
      </x:c>
      <x:c r="B4" s="34" t="n">
        <x:v>1</x:v>
      </x:c>
      <x:c r="C4" s="35" t="str">
        <x:v>2026-03-15</x:v>
      </x:c>
      <x:c r="D4" s="34" t="str">
        <x:v>بوابة الرافدين للبن الخام</x:v>
      </x:c>
      <x:c r="E4" s="33" t="str">
        <x:v>1572306</x:v>
      </x:c>
      <x:c r="F4" s="33" t="str">
        <x:v>DOC000101</x:v>
      </x:c>
      <x:c r="G4" s="34" t="str">
        <x:v>INVENTORY</x:v>
      </x:c>
      <x:c r="H4" s="34" t="str">
        <x:v>قهوة خام روبوستا هندي</x:v>
      </x:c>
      <x:c r="I4" s="34" t="str">
        <x:v>GREEN_COFFEE</x:v>
      </x:c>
      <x:c r="J4" s="34" t="str">
        <x:v>GREEN_COFFEE</x:v>
      </x:c>
      <x:c r="K4" s="34" t="str"/>
      <x:c r="L4" s="34" t="str"/>
      <x:c r="M4" s="36" t="n">
        <x:v>30</x:v>
      </x:c>
      <x:c r="N4" s="34" t="str">
        <x:v>kg</x:v>
      </x:c>
      <x:c r="O4" s="37" t="n">
        <x:v>12250</x:v>
      </x:c>
      <x:c r="P4" s="37" t="n">
        <x:v>367500</x:v>
      </x:c>
      <x:c r="Q4" s="37" t="str">
        <x:v>IQD</x:v>
      </x:c>
      <x:c r="R4" s="37" t="str"/>
      <x:c r="S4" s="37" t="n">
        <x:v>367500</x:v>
      </x:c>
      <x:c r="T4" s="37" t="n">
        <x:v>367500</x:v>
      </x:c>
      <x:c r="U4" s="34" t="str">
        <x:v>PAID</x:v>
      </x:c>
      <x:c r="V4" s="34" t="str">
        <x:v>Cash on Hands</x:v>
      </x:c>
      <x:c r="W4" s="34" t="str">
        <x:v>HQ</x:v>
      </x:c>
      <x:c r="X4" s="34" t="str"/>
    </x:row>
    <x:row r="5">
      <x:c r="A5" s="33" t="str">
        <x:v>DOC000102</x:v>
      </x:c>
      <x:c r="B5" s="34" t="n">
        <x:v>1</x:v>
      </x:c>
      <x:c r="C5" s="35" t="str">
        <x:v>2026-03-15</x:v>
      </x:c>
      <x:c r="D5" s="34" t="str">
        <x:v>بوابة الرافدين للبن الخام</x:v>
      </x:c>
      <x:c r="E5" s="33" t="str">
        <x:v>1572307</x:v>
      </x:c>
      <x:c r="F5" s="33" t="str">
        <x:v>DOC000102</x:v>
      </x:c>
      <x:c r="G5" s="34" t="str">
        <x:v>INVENTORY</x:v>
      </x:c>
      <x:c r="H5" s="34" t="str">
        <x:v>قهوة خام ميناس برازيل</x:v>
      </x:c>
      <x:c r="I5" s="34" t="str">
        <x:v>GREEN_COFFEE</x:v>
      </x:c>
      <x:c r="J5" s="34" t="str">
        <x:v>GREEN_COFFEE</x:v>
      </x:c>
      <x:c r="K5" s="34" t="str"/>
      <x:c r="L5" s="34" t="str"/>
      <x:c r="M5" s="36" t="n">
        <x:v>30</x:v>
      </x:c>
      <x:c r="N5" s="34" t="str">
        <x:v>kg</x:v>
      </x:c>
      <x:c r="O5" s="37" t="n">
        <x:v>15000</x:v>
      </x:c>
      <x:c r="P5" s="37" t="n">
        <x:v>450000</x:v>
      </x:c>
      <x:c r="Q5" s="37" t="str">
        <x:v>IQD</x:v>
      </x:c>
      <x:c r="R5" s="37" t="str"/>
      <x:c r="S5" s="37" t="n">
        <x:v>450000</x:v>
      </x:c>
      <x:c r="T5" s="37" t="n">
        <x:v>450000</x:v>
      </x:c>
      <x:c r="U5" s="34" t="str">
        <x:v>PAID</x:v>
      </x:c>
      <x:c r="V5" s="34" t="str">
        <x:v>Cash on Hands</x:v>
      </x:c>
      <x:c r="W5" s="34" t="str">
        <x:v>HQ</x:v>
      </x:c>
      <x:c r="X5" s="34" t="str"/>
    </x:row>
    <x:row r="6">
      <x:c r="A6" s="33" t="str">
        <x:v>DOC000103</x:v>
      </x:c>
      <x:c r="B6" s="34" t="n">
        <x:v>1</x:v>
      </x:c>
      <x:c r="C6" s="35" t="str">
        <x:v>2026-01-21</x:v>
      </x:c>
      <x:c r="D6" s="34" t="str">
        <x:v>جبران</x:v>
      </x:c>
      <x:c r="E6" s="33" t="str">
        <x:v>564</x:v>
      </x:c>
      <x:c r="F6" s="33" t="str">
        <x:v>DOC000103</x:v>
      </x:c>
      <x:c r="G6" s="34" t="str">
        <x:v>INVENTORY</x:v>
      </x:c>
      <x:c r="H6" s="34" t="str">
        <x:v>كافك فلاتر ورقي</x:v>
      </x:c>
      <x:c r="I6" s="34" t="str">
        <x:v>OVERHEAD</x:v>
      </x:c>
      <x:c r="J6" s="34" t="str">
        <x:v>PRODUCTION_SUPPLY</x:v>
      </x:c>
      <x:c r="K6" s="34" t="str"/>
      <x:c r="L6" s="34" t="str"/>
      <x:c r="M6" s="36" t="n">
        <x:v>1</x:v>
      </x:c>
      <x:c r="N6" s="34" t="str">
        <x:v>pack</x:v>
      </x:c>
      <x:c r="O6" s="37" t="n">
        <x:v>10000</x:v>
      </x:c>
      <x:c r="P6" s="37" t="n">
        <x:v>10000</x:v>
      </x:c>
      <x:c r="Q6" s="37" t="str">
        <x:v>IQD</x:v>
      </x:c>
      <x:c r="R6" s="37" t="str"/>
      <x:c r="S6" s="37" t="n">
        <x:v>10000</x:v>
      </x:c>
      <x:c r="T6" s="37" t="n">
        <x:v>45000</x:v>
      </x:c>
      <x:c r="U6" s="34" t="str">
        <x:v>PAID</x:v>
      </x:c>
      <x:c r="V6" s="34" t="str">
        <x:v>Cash on Hands</x:v>
      </x:c>
      <x:c r="W6" s="34" t="str">
        <x:v>HQ</x:v>
      </x:c>
      <x:c r="X6" s="34" t="str"/>
    </x:row>
    <x:row r="7">
      <x:c r="A7" s="33" t="str">
        <x:v>DOC000103</x:v>
      </x:c>
      <x:c r="B7" s="34" t="n">
        <x:v>2</x:v>
      </x:c>
      <x:c r="C7" s="35" t="str">
        <x:v>2026-01-21</x:v>
      </x:c>
      <x:c r="D7" s="34" t="str">
        <x:v>جبران</x:v>
      </x:c>
      <x:c r="E7" s="33" t="str">
        <x:v>564</x:v>
      </x:c>
      <x:c r="F7" s="33" t="str">
        <x:v>DOC000103</x:v>
      </x:c>
      <x:c r="G7" s="34" t="str">
        <x:v>INVENTORY</x:v>
      </x:c>
      <x:c r="H7" s="34" t="str">
        <x:v>قهوة اثيوبيا بيكيلي 200 غم</x:v>
      </x:c>
      <x:c r="I7" s="34" t="str">
        <x:v>GREEN_COFFEE</x:v>
      </x:c>
      <x:c r="J7" s="34" t="str">
        <x:v>ROASTED</x:v>
      </x:c>
      <x:c r="K7" s="34" t="str"/>
      <x:c r="L7" s="34" t="str"/>
      <x:c r="M7" s="36" t="n">
        <x:v>200</x:v>
      </x:c>
      <x:c r="N7" s="34" t="str">
        <x:v>g</x:v>
      </x:c>
      <x:c r="O7" s="37" t="n">
        <x:v>175</x:v>
      </x:c>
      <x:c r="P7" s="37" t="n">
        <x:v>35000</x:v>
      </x:c>
      <x:c r="Q7" s="37" t="str">
        <x:v>IQD</x:v>
      </x:c>
      <x:c r="R7" s="37" t="str"/>
      <x:c r="S7" s="37" t="n">
        <x:v>35000</x:v>
      </x:c>
      <x:c r="T7" s="37" t="n">
        <x:v>45000</x:v>
      </x:c>
      <x:c r="U7" s="34" t="str">
        <x:v>PAID</x:v>
      </x:c>
      <x:c r="V7" s="34" t="str">
        <x:v>Cash on Hands</x:v>
      </x:c>
      <x:c r="W7" s="34" t="str">
        <x:v>HQ</x:v>
      </x:c>
      <x:c r="X7" s="34" t="str"/>
    </x:row>
    <x:row r="8">
      <x:c r="A8" s="33" t="str">
        <x:v>DOC000104</x:v>
      </x:c>
      <x:c r="B8" s="34" t="n">
        <x:v>1</x:v>
      </x:c>
      <x:c r="C8" s="35" t="str">
        <x:v>2026-03-17</x:v>
      </x:c>
      <x:c r="D8" s="34" t="str">
        <x:v>هوم اسطنبول</x:v>
      </x:c>
      <x:c r="E8" s="33" t="str">
        <x:v>'8683723704091</x:v>
      </x:c>
      <x:c r="F8" s="33" t="str">
        <x:v>DOC000104</x:v>
      </x:c>
      <x:c r="G8" s="34" t="str">
        <x:v>INVENTORY</x:v>
      </x:c>
      <x:c r="H8" s="34" t="str">
        <x:v>حافظة مواد غذائية شفافة</x:v>
      </x:c>
      <x:c r="I8" s="34" t="str">
        <x:v>PACKAGING</x:v>
      </x:c>
      <x:c r="J8" s="34" t="str">
        <x:v>PACKAGING</x:v>
      </x:c>
      <x:c r="K8" s="34" t="str"/>
      <x:c r="L8" s="34" t="str"/>
      <x:c r="M8" s="36" t="n">
        <x:v>4</x:v>
      </x:c>
      <x:c r="N8" s="34" t="str">
        <x:v>piece</x:v>
      </x:c>
      <x:c r="O8" s="37" t="n">
        <x:v>24750</x:v>
      </x:c>
      <x:c r="P8" s="37" t="n">
        <x:v>99000</x:v>
      </x:c>
      <x:c r="Q8" s="37" t="str">
        <x:v>IQD</x:v>
      </x:c>
      <x:c r="R8" s="37" t="str"/>
      <x:c r="S8" s="37" t="n">
        <x:v>99000</x:v>
      </x:c>
      <x:c r="T8" s="37" t="n">
        <x:v>99000</x:v>
      </x:c>
      <x:c r="U8" s="34" t="str">
        <x:v>PAID</x:v>
      </x:c>
      <x:c r="V8" s="34" t="str">
        <x:v>Cash on Hands</x:v>
      </x:c>
      <x:c r="W8" s="34" t="str">
        <x:v>HQ</x:v>
      </x:c>
      <x:c r="X8" s="34" t="str"/>
    </x:row>
    <x:row r="9">
      <x:c r="A9" s="33" t="str">
        <x:v>DOC000105</x:v>
      </x:c>
      <x:c r="B9" s="34" t="n">
        <x:v>1</x:v>
      </x:c>
      <x:c r="C9" s="35" t="str">
        <x:v>2026-01-10</x:v>
      </x:c>
      <x:c r="D9" s="34" t="str">
        <x:v>شركة الاستلام</x:v>
      </x:c>
      <x:c r="E9" s="33" t="str">
        <x:v>022199</x:v>
      </x:c>
      <x:c r="F9" s="33" t="str">
        <x:v>DOC000105</x:v>
      </x:c>
      <x:c r="G9" s="34" t="str">
        <x:v>SERVICE</x:v>
      </x:c>
      <x:c r="H9" s="34" t="str">
        <x:v>رسوم ضريبية اكياس المختصة</x:v>
      </x:c>
      <x:c r="I9" s="34" t="str">
        <x:v>SHIPPING</x:v>
      </x:c>
      <x:c r="J9" s="34" t="str"/>
      <x:c r="K9" s="34" t="str"/>
      <x:c r="L9" s="34" t="str"/>
      <x:c r="M9" s="36" t="n">
        <x:v>1</x:v>
      </x:c>
      <x:c r="N9" s="34" t="str">
        <x:v>piece</x:v>
      </x:c>
      <x:c r="O9" s="37" t="n">
        <x:v>21</x:v>
      </x:c>
      <x:c r="P9" s="37" t="n">
        <x:v>21</x:v>
      </x:c>
      <x:c r="Q9" s="37" t="str">
        <x:v>USD</x:v>
      </x:c>
      <x:c r="R9" s="37" t="n">
        <x:v>1428.571</x:v>
      </x:c>
      <x:c r="S9" s="37" t="n">
        <x:v>30000</x:v>
      </x:c>
      <x:c r="T9" s="37" t="n">
        <x:v>30000</x:v>
      </x:c>
      <x:c r="U9" s="34" t="str">
        <x:v>PAID</x:v>
      </x:c>
      <x:c r="V9" s="34" t="str">
        <x:v>Cash on Hands</x:v>
      </x:c>
      <x:c r="W9" s="34" t="str">
        <x:v>HQ</x:v>
      </x:c>
      <x:c r="X9" s="34" t="str">
        <x:v>Date normalized from the workbook numeric cell to its visible day/month convention.</x:v>
      </x:c>
    </x:row>
    <x:row r="10">
      <x:c r="A10" s="33" t="str">
        <x:v>DOC000106</x:v>
      </x:c>
      <x:c r="B10" s="34" t="n">
        <x:v>1</x:v>
      </x:c>
      <x:c r="C10" s="35" t="str">
        <x:v>2025-12-20</x:v>
      </x:c>
      <x:c r="D10" s="34" t="str">
        <x:v>ئه لماس</x:v>
      </x:c>
      <x:c r="E10" s="33" t="str">
        <x:v>883</x:v>
      </x:c>
      <x:c r="F10" s="33" t="str">
        <x:v>DOC000106</x:v>
      </x:c>
      <x:c r="G10" s="34" t="str">
        <x:v>EXPENSE</x:v>
      </x:c>
      <x:c r="H10" s="34" t="str">
        <x:v>نايلون لاصق</x:v>
      </x:c>
      <x:c r="I10" s="34" t="str">
        <x:v>OVERHEAD</x:v>
      </x:c>
      <x:c r="J10" s="34" t="str"/>
      <x:c r="K10" s="34" t="str"/>
      <x:c r="L10" s="34" t="str"/>
      <x:c r="M10" s="36" t="n">
        <x:v>1</x:v>
      </x:c>
      <x:c r="N10" s="34" t="str">
        <x:v>piece</x:v>
      </x:c>
      <x:c r="O10" s="37" t="n">
        <x:v>4000</x:v>
      </x:c>
      <x:c r="P10" s="37" t="n">
        <x:v>4000</x:v>
      </x:c>
      <x:c r="Q10" s="37" t="str">
        <x:v>IQD</x:v>
      </x:c>
      <x:c r="R10" s="37" t="str"/>
      <x:c r="S10" s="37" t="n">
        <x:v>4000</x:v>
      </x:c>
      <x:c r="T10" s="37" t="n">
        <x:v>24000</x:v>
      </x:c>
      <x:c r="U10" s="34" t="str">
        <x:v>PAID</x:v>
      </x:c>
      <x:c r="V10" s="34" t="str">
        <x:v>Cash on Hands</x:v>
      </x:c>
      <x:c r="W10" s="34" t="str">
        <x:v>HQ</x:v>
      </x:c>
      <x:c r="X10" s="34" t="str"/>
    </x:row>
    <x:row r="11">
      <x:c r="A11" s="33" t="str">
        <x:v>DOC000106</x:v>
      </x:c>
      <x:c r="B11" s="34" t="n">
        <x:v>2</x:v>
      </x:c>
      <x:c r="C11" s="35" t="str">
        <x:v>2025-12-20</x:v>
      </x:c>
      <x:c r="D11" s="34" t="str">
        <x:v>ئه لماس</x:v>
      </x:c>
      <x:c r="E11" s="33" t="str">
        <x:v>883</x:v>
      </x:c>
      <x:c r="F11" s="33" t="str">
        <x:v>DOC000106</x:v>
      </x:c>
      <x:c r="G11" s="34" t="str">
        <x:v>EXPENSE</x:v>
      </x:c>
      <x:c r="H11" s="34" t="str">
        <x:v>شفرة</x:v>
      </x:c>
      <x:c r="I11" s="34" t="str">
        <x:v>EQUIPMENT</x:v>
      </x:c>
      <x:c r="J11" s="34" t="str"/>
      <x:c r="K11" s="34" t="str"/>
      <x:c r="L11" s="34" t="str"/>
      <x:c r="M11" s="36" t="n">
        <x:v>1</x:v>
      </x:c>
      <x:c r="N11" s="34" t="str">
        <x:v>piece</x:v>
      </x:c>
      <x:c r="O11" s="37" t="n">
        <x:v>3000</x:v>
      </x:c>
      <x:c r="P11" s="37" t="n">
        <x:v>3000</x:v>
      </x:c>
      <x:c r="Q11" s="37" t="str">
        <x:v>IQD</x:v>
      </x:c>
      <x:c r="R11" s="37" t="str"/>
      <x:c r="S11" s="37" t="n">
        <x:v>3000</x:v>
      </x:c>
      <x:c r="T11" s="37" t="n">
        <x:v>24000</x:v>
      </x:c>
      <x:c r="U11" s="34" t="str">
        <x:v>PAID</x:v>
      </x:c>
      <x:c r="V11" s="34" t="str">
        <x:v>Cash on Hands</x:v>
      </x:c>
      <x:c r="W11" s="34" t="str">
        <x:v>HQ</x:v>
      </x:c>
      <x:c r="X11" s="34" t="str"/>
    </x:row>
    <x:row r="12">
      <x:c r="A12" s="33" t="str">
        <x:v>DOC000106</x:v>
      </x:c>
      <x:c r="B12" s="34" t="n">
        <x:v>3</x:v>
      </x:c>
      <x:c r="C12" s="35" t="str">
        <x:v>2025-12-20</x:v>
      </x:c>
      <x:c r="D12" s="34" t="str">
        <x:v>ئه لماس</x:v>
      </x:c>
      <x:c r="E12" s="33" t="str">
        <x:v>883</x:v>
      </x:c>
      <x:c r="F12" s="33" t="str">
        <x:v>DOC000106</x:v>
      </x:c>
      <x:c r="G12" s="34" t="str">
        <x:v>EXPENSE</x:v>
      </x:c>
      <x:c r="H12" s="34" t="str">
        <x:v>معجون جاهز</x:v>
      </x:c>
      <x:c r="I12" s="34" t="str">
        <x:v>MAINTENANCE</x:v>
      </x:c>
      <x:c r="J12" s="34" t="str"/>
      <x:c r="K12" s="34" t="str"/>
      <x:c r="L12" s="34" t="str"/>
      <x:c r="M12" s="36" t="n">
        <x:v>1</x:v>
      </x:c>
      <x:c r="N12" s="34" t="str">
        <x:v>kg</x:v>
      </x:c>
      <x:c r="O12" s="37" t="n">
        <x:v>3000</x:v>
      </x:c>
      <x:c r="P12" s="37" t="n">
        <x:v>3000</x:v>
      </x:c>
      <x:c r="Q12" s="37" t="str">
        <x:v>IQD</x:v>
      </x:c>
      <x:c r="R12" s="37" t="str"/>
      <x:c r="S12" s="37" t="n">
        <x:v>3000</x:v>
      </x:c>
      <x:c r="T12" s="37" t="n">
        <x:v>24000</x:v>
      </x:c>
      <x:c r="U12" s="34" t="str">
        <x:v>PAID</x:v>
      </x:c>
      <x:c r="V12" s="34" t="str">
        <x:v>Cash on Hands</x:v>
      </x:c>
      <x:c r="W12" s="34" t="str">
        <x:v>HQ</x:v>
      </x:c>
      <x:c r="X12" s="34" t="str"/>
    </x:row>
    <x:row r="13">
      <x:c r="A13" s="33" t="str">
        <x:v>DOC000106</x:v>
      </x:c>
      <x:c r="B13" s="34" t="n">
        <x:v>4</x:v>
      </x:c>
      <x:c r="C13" s="35" t="str">
        <x:v>2025-12-20</x:v>
      </x:c>
      <x:c r="D13" s="34" t="str">
        <x:v>ئه لماس</x:v>
      </x:c>
      <x:c r="E13" s="33" t="str">
        <x:v>883</x:v>
      </x:c>
      <x:c r="F13" s="33" t="str">
        <x:v>DOC000106</x:v>
      </x:c>
      <x:c r="G13" s="34" t="str">
        <x:v>EXPENSE</x:v>
      </x:c>
      <x:c r="H13" s="34" t="str">
        <x:v>رولة صبغ</x:v>
      </x:c>
      <x:c r="I13" s="34" t="str">
        <x:v>MAINTENANCE</x:v>
      </x:c>
      <x:c r="J13" s="34" t="str"/>
      <x:c r="K13" s="34" t="str"/>
      <x:c r="L13" s="34" t="str"/>
      <x:c r="M13" s="36" t="n">
        <x:v>1</x:v>
      </x:c>
      <x:c r="N13" s="34" t="str">
        <x:v>piece</x:v>
      </x:c>
      <x:c r="O13" s="37" t="n">
        <x:v>4000</x:v>
      </x:c>
      <x:c r="P13" s="37" t="n">
        <x:v>4000</x:v>
      </x:c>
      <x:c r="Q13" s="37" t="str">
        <x:v>IQD</x:v>
      </x:c>
      <x:c r="R13" s="37" t="str"/>
      <x:c r="S13" s="37" t="n">
        <x:v>4000</x:v>
      </x:c>
      <x:c r="T13" s="37" t="n">
        <x:v>24000</x:v>
      </x:c>
      <x:c r="U13" s="34" t="str">
        <x:v>PAID</x:v>
      </x:c>
      <x:c r="V13" s="34" t="str">
        <x:v>Cash on Hands</x:v>
      </x:c>
      <x:c r="W13" s="34" t="str">
        <x:v>HQ</x:v>
      </x:c>
      <x:c r="X13" s="34" t="str"/>
    </x:row>
    <x:row r="14">
      <x:c r="A14" s="33" t="str">
        <x:v>DOC000106</x:v>
      </x:c>
      <x:c r="B14" s="34" t="n">
        <x:v>5</x:v>
      </x:c>
      <x:c r="C14" s="35" t="str">
        <x:v>2025-12-20</x:v>
      </x:c>
      <x:c r="D14" s="34" t="str">
        <x:v>ئه لماس</x:v>
      </x:c>
      <x:c r="E14" s="33" t="str">
        <x:v>883</x:v>
      </x:c>
      <x:c r="F14" s="33" t="str">
        <x:v>DOC000106</x:v>
      </x:c>
      <x:c r="G14" s="34" t="str">
        <x:v>EXPENSE</x:v>
      </x:c>
      <x:c r="H14" s="34" t="str">
        <x:v>ثنر وسط</x:v>
      </x:c>
      <x:c r="I14" s="34" t="str">
        <x:v>MAINTENANCE</x:v>
      </x:c>
      <x:c r="J14" s="34" t="str"/>
      <x:c r="K14" s="34" t="str"/>
      <x:c r="L14" s="34" t="str"/>
      <x:c r="M14" s="36" t="n">
        <x:v>1</x:v>
      </x:c>
      <x:c r="N14" s="34" t="str">
        <x:v>piece</x:v>
      </x:c>
      <x:c r="O14" s="37" t="n">
        <x:v>2000</x:v>
      </x:c>
      <x:c r="P14" s="37" t="n">
        <x:v>2000</x:v>
      </x:c>
      <x:c r="Q14" s="37" t="str">
        <x:v>IQD</x:v>
      </x:c>
      <x:c r="R14" s="37" t="str"/>
      <x:c r="S14" s="37" t="n">
        <x:v>2000</x:v>
      </x:c>
      <x:c r="T14" s="37" t="n">
        <x:v>24000</x:v>
      </x:c>
      <x:c r="U14" s="34" t="str">
        <x:v>PAID</x:v>
      </x:c>
      <x:c r="V14" s="34" t="str">
        <x:v>Cash on Hands</x:v>
      </x:c>
      <x:c r="W14" s="34" t="str">
        <x:v>HQ</x:v>
      </x:c>
      <x:c r="X14" s="34" t="str"/>
    </x:row>
    <x:row r="15">
      <x:c r="A15" s="33" t="str">
        <x:v>DOC000106</x:v>
      </x:c>
      <x:c r="B15" s="34" t="n">
        <x:v>6</x:v>
      </x:c>
      <x:c r="C15" s="35" t="str">
        <x:v>2025-12-20</x:v>
      </x:c>
      <x:c r="D15" s="34" t="str">
        <x:v>ئه لماس</x:v>
      </x:c>
      <x:c r="E15" s="33" t="str">
        <x:v>883</x:v>
      </x:c>
      <x:c r="F15" s="33" t="str">
        <x:v>DOC000106</x:v>
      </x:c>
      <x:c r="G15" s="34" t="str">
        <x:v>EXPENSE</x:v>
      </x:c>
      <x:c r="H15" s="34" t="str">
        <x:v>فرشاة صبغ</x:v>
      </x:c>
      <x:c r="I15" s="34" t="str">
        <x:v>MAINTENANCE</x:v>
      </x:c>
      <x:c r="J15" s="34" t="str"/>
      <x:c r="K15" s="34" t="str"/>
      <x:c r="L15" s="34" t="str"/>
      <x:c r="M15" s="36" t="n">
        <x:v>1</x:v>
      </x:c>
      <x:c r="N15" s="34" t="str">
        <x:v>piece</x:v>
      </x:c>
      <x:c r="O15" s="37" t="n">
        <x:v>3000</x:v>
      </x:c>
      <x:c r="P15" s="37" t="n">
        <x:v>3000</x:v>
      </x:c>
      <x:c r="Q15" s="37" t="str">
        <x:v>IQD</x:v>
      </x:c>
      <x:c r="R15" s="37" t="str"/>
      <x:c r="S15" s="37" t="n">
        <x:v>3000</x:v>
      </x:c>
      <x:c r="T15" s="37" t="n">
        <x:v>24000</x:v>
      </x:c>
      <x:c r="U15" s="34" t="str">
        <x:v>PAID</x:v>
      </x:c>
      <x:c r="V15" s="34" t="str">
        <x:v>Cash on Hands</x:v>
      </x:c>
      <x:c r="W15" s="34" t="str">
        <x:v>HQ</x:v>
      </x:c>
      <x:c r="X15" s="34" t="str"/>
    </x:row>
    <x:row r="16">
      <x:c r="A16" s="33" t="str">
        <x:v>DOC000106</x:v>
      </x:c>
      <x:c r="B16" s="34" t="n">
        <x:v>7</x:v>
      </x:c>
      <x:c r="C16" s="35" t="str">
        <x:v>2025-12-20</x:v>
      </x:c>
      <x:c r="D16" s="34" t="str">
        <x:v>ئه لماس</x:v>
      </x:c>
      <x:c r="E16" s="33" t="str">
        <x:v>883</x:v>
      </x:c>
      <x:c r="F16" s="33" t="str">
        <x:v>DOC000106</x:v>
      </x:c>
      <x:c r="G16" s="34" t="str">
        <x:v>EXPENSE</x:v>
      </x:c>
      <x:c r="H16" s="34" t="str">
        <x:v>تيب ازارة</x:v>
      </x:c>
      <x:c r="I16" s="34" t="str">
        <x:v>MAINTENANCE</x:v>
      </x:c>
      <x:c r="J16" s="34" t="str"/>
      <x:c r="K16" s="34" t="str"/>
      <x:c r="L16" s="34" t="str"/>
      <x:c r="M16" s="36" t="n">
        <x:v>1</x:v>
      </x:c>
      <x:c r="N16" s="34" t="str">
        <x:v>piece</x:v>
      </x:c>
      <x:c r="O16" s="37" t="n">
        <x:v>5000</x:v>
      </x:c>
      <x:c r="P16" s="37" t="n">
        <x:v>5000</x:v>
      </x:c>
      <x:c r="Q16" s="37" t="str">
        <x:v>IQD</x:v>
      </x:c>
      <x:c r="R16" s="37" t="str"/>
      <x:c r="S16" s="37" t="n">
        <x:v>5000</x:v>
      </x:c>
      <x:c r="T16" s="37" t="n">
        <x:v>24000</x:v>
      </x:c>
      <x:c r="U16" s="34" t="str">
        <x:v>PAID</x:v>
      </x:c>
      <x:c r="V16" s="34" t="str">
        <x:v>Cash on Hands</x:v>
      </x:c>
      <x:c r="W16" s="34" t="str">
        <x:v>HQ</x:v>
      </x:c>
      <x:c r="X16" s="34" t="str"/>
    </x:row>
    <x:row r="17">
      <x:c r="A17" s="33" t="str">
        <x:v>DOC000107</x:v>
      </x:c>
      <x:c r="B17" s="34" t="n">
        <x:v>1</x:v>
      </x:c>
      <x:c r="C17" s="35" t="str">
        <x:v>2025-12-20</x:v>
      </x:c>
      <x:c r="D17" s="34" t="str">
        <x:v>فروشكاى بيشه نك</x:v>
      </x:c>
      <x:c r="E17" s="33" t="str">
        <x:v>649</x:v>
      </x:c>
      <x:c r="F17" s="33" t="str">
        <x:v>DOC000107</x:v>
      </x:c>
      <x:c r="G17" s="34" t="str">
        <x:v>EXPENSE</x:v>
      </x:c>
      <x:c r="H17" s="34" t="str">
        <x:v>قفل</x:v>
      </x:c>
      <x:c r="I17" s="34" t="str">
        <x:v>MAINTENANCE</x:v>
      </x:c>
      <x:c r="J17" s="34" t="str"/>
      <x:c r="K17" s="34" t="str"/>
      <x:c r="L17" s="34" t="str"/>
      <x:c r="M17" s="36" t="n">
        <x:v>1</x:v>
      </x:c>
      <x:c r="N17" s="34" t="str">
        <x:v>piece</x:v>
      </x:c>
      <x:c r="O17" s="37" t="n">
        <x:v>7000</x:v>
      </x:c>
      <x:c r="P17" s="37" t="n">
        <x:v>7000</x:v>
      </x:c>
      <x:c r="Q17" s="37" t="str">
        <x:v>IQD</x:v>
      </x:c>
      <x:c r="R17" s="37" t="str"/>
      <x:c r="S17" s="37" t="n">
        <x:v>7000</x:v>
      </x:c>
      <x:c r="T17" s="37" t="n">
        <x:v>10000</x:v>
      </x:c>
      <x:c r="U17" s="34" t="str">
        <x:v>PAID</x:v>
      </x:c>
      <x:c r="V17" s="34" t="str">
        <x:v>Cash on Hands</x:v>
      </x:c>
      <x:c r="W17" s="34" t="str">
        <x:v>HQ</x:v>
      </x:c>
      <x:c r="X17" s="34" t="str"/>
    </x:row>
    <x:row r="18">
      <x:c r="A18" s="33" t="str">
        <x:v>DOC000107</x:v>
      </x:c>
      <x:c r="B18" s="34" t="n">
        <x:v>2</x:v>
      </x:c>
      <x:c r="C18" s="35" t="str">
        <x:v>2025-12-20</x:v>
      </x:c>
      <x:c r="D18" s="34" t="str">
        <x:v>فروشكاى بيشه نك</x:v>
      </x:c>
      <x:c r="E18" s="33" t="str">
        <x:v>649</x:v>
      </x:c>
      <x:c r="F18" s="33" t="str">
        <x:v>DOC000107</x:v>
      </x:c>
      <x:c r="G18" s="34" t="str">
        <x:v>EXPENSE</x:v>
      </x:c>
      <x:c r="H18" s="34" t="str">
        <x:v>موس شفرة</x:v>
      </x:c>
      <x:c r="I18" s="34" t="str">
        <x:v>EQUIPMENT</x:v>
      </x:c>
      <x:c r="J18" s="34" t="str"/>
      <x:c r="K18" s="34" t="str"/>
      <x:c r="L18" s="34" t="str"/>
      <x:c r="M18" s="36" t="n">
        <x:v>1</x:v>
      </x:c>
      <x:c r="N18" s="34" t="str">
        <x:v>piece</x:v>
      </x:c>
      <x:c r="O18" s="37" t="n">
        <x:v>2000</x:v>
      </x:c>
      <x:c r="P18" s="37" t="n">
        <x:v>2000</x:v>
      </x:c>
      <x:c r="Q18" s="37" t="str">
        <x:v>IQD</x:v>
      </x:c>
      <x:c r="R18" s="37" t="str"/>
      <x:c r="S18" s="37" t="n">
        <x:v>2000</x:v>
      </x:c>
      <x:c r="T18" s="37" t="n">
        <x:v>10000</x:v>
      </x:c>
      <x:c r="U18" s="34" t="str">
        <x:v>PAID</x:v>
      </x:c>
      <x:c r="V18" s="34" t="str">
        <x:v>Cash on Hands</x:v>
      </x:c>
      <x:c r="W18" s="34" t="str">
        <x:v>HQ</x:v>
      </x:c>
      <x:c r="X18" s="34" t="str"/>
    </x:row>
    <x:row r="19">
      <x:c r="A19" s="33" t="str">
        <x:v>DOC000107</x:v>
      </x:c>
      <x:c r="B19" s="34" t="n">
        <x:v>3</x:v>
      </x:c>
      <x:c r="C19" s="35" t="str">
        <x:v>2025-12-20</x:v>
      </x:c>
      <x:c r="D19" s="34" t="str">
        <x:v>فروشكاى بيشه نك</x:v>
      </x:c>
      <x:c r="E19" s="33" t="str">
        <x:v>649</x:v>
      </x:c>
      <x:c r="F19" s="33" t="str">
        <x:v>DOC000107</x:v>
      </x:c>
      <x:c r="G19" s="34" t="str">
        <x:v>EXPENSE</x:v>
      </x:c>
      <x:c r="H19" s="34" t="str">
        <x:v>قرص كوسرة</x:v>
      </x:c>
      <x:c r="I19" s="34" t="str">
        <x:v>EQUIPMENT</x:v>
      </x:c>
      <x:c r="J19" s="34" t="str"/>
      <x:c r="K19" s="34" t="str"/>
      <x:c r="L19" s="34" t="str"/>
      <x:c r="M19" s="36" t="n">
        <x:v>1</x:v>
      </x:c>
      <x:c r="N19" s="34" t="str">
        <x:v>piece</x:v>
      </x:c>
      <x:c r="O19" s="37" t="n">
        <x:v>1000</x:v>
      </x:c>
      <x:c r="P19" s="37" t="n">
        <x:v>1000</x:v>
      </x:c>
      <x:c r="Q19" s="37" t="str">
        <x:v>IQD</x:v>
      </x:c>
      <x:c r="R19" s="37" t="str"/>
      <x:c r="S19" s="37" t="n">
        <x:v>1000</x:v>
      </x:c>
      <x:c r="T19" s="37" t="n">
        <x:v>10000</x:v>
      </x:c>
      <x:c r="U19" s="34" t="str">
        <x:v>PAID</x:v>
      </x:c>
      <x:c r="V19" s="34" t="str">
        <x:v>Cash on Hands</x:v>
      </x:c>
      <x:c r="W19" s="34" t="str">
        <x:v>HQ</x:v>
      </x:c>
      <x:c r="X19" s="34" t="str"/>
    </x:row>
    <x:row r="20">
      <x:c r="A20" s="33" t="str">
        <x:v>DOC000108</x:v>
      </x:c>
      <x:c r="B20" s="34" t="n">
        <x:v>1</x:v>
      </x:c>
      <x:c r="C20" s="35" t="str">
        <x:v>2026-02-04</x:v>
      </x:c>
      <x:c r="D20" s="34" t="str">
        <x:v>مكتب مكرم</x:v>
      </x:c>
      <x:c r="E20" s="33" t="str">
        <x:v>B551</x:v>
      </x:c>
      <x:c r="F20" s="33" t="str">
        <x:v>DOC000108</x:v>
      </x:c>
      <x:c r="G20" s="34" t="str">
        <x:v>EXPENSE</x:v>
      </x:c>
      <x:c r="H20" s="34" t="str">
        <x:v>كاميرا واي فاي</x:v>
      </x:c>
      <x:c r="I20" s="34" t="str">
        <x:v>TECH</x:v>
      </x:c>
      <x:c r="J20" s="34" t="str"/>
      <x:c r="K20" s="34" t="str"/>
      <x:c r="L20" s="34" t="str"/>
      <x:c r="M20" s="36" t="n">
        <x:v>1</x:v>
      </x:c>
      <x:c r="N20" s="34" t="str">
        <x:v>piece</x:v>
      </x:c>
      <x:c r="O20" s="37" t="n">
        <x:v>85000</x:v>
      </x:c>
      <x:c r="P20" s="37" t="n">
        <x:v>85000</x:v>
      </x:c>
      <x:c r="Q20" s="37" t="str">
        <x:v>IQD</x:v>
      </x:c>
      <x:c r="R20" s="37" t="str"/>
      <x:c r="S20" s="37" t="n">
        <x:v>85000</x:v>
      </x:c>
      <x:c r="T20" s="37" t="n">
        <x:v>85000</x:v>
      </x:c>
      <x:c r="U20" s="34" t="str">
        <x:v>PAID</x:v>
      </x:c>
      <x:c r="V20" s="34" t="str">
        <x:v>Cash on Hands</x:v>
      </x:c>
      <x:c r="W20" s="34" t="str">
        <x:v>HQ</x:v>
      </x:c>
      <x:c r="X20" s="34" t="str">
        <x:v>Date normalized from the workbook numeric cell to its visible day/month convention.</x:v>
      </x:c>
    </x:row>
    <x:row r="21">
      <x:c r="A21" s="33" t="str">
        <x:v>DOC000109</x:v>
      </x:c>
      <x:c r="B21" s="34" t="n">
        <x:v>1</x:v>
      </x:c>
      <x:c r="C21" s="35" t="str">
        <x:v>2026-04-14</x:v>
      </x:c>
      <x:c r="D21" s="34" t="str">
        <x:v>شيمال كروب</x:v>
      </x:c>
      <x:c r="E21" s="33" t="str">
        <x:v>152</x:v>
      </x:c>
      <x:c r="F21" s="33" t="str">
        <x:v>DOC000109</x:v>
      </x:c>
      <x:c r="G21" s="34" t="str">
        <x:v>SERVICE</x:v>
      </x:c>
      <x:c r="H21" s="34" t="str">
        <x:v>اجور شحن جوي اكياس تقطير</x:v>
      </x:c>
      <x:c r="I21" s="34" t="str">
        <x:v>SHIPPING</x:v>
      </x:c>
      <x:c r="J21" s="34" t="str"/>
      <x:c r="K21" s="34" t="str"/>
      <x:c r="L21" s="34" t="str"/>
      <x:c r="M21" s="36" t="n">
        <x:v>1</x:v>
      </x:c>
      <x:c r="N21" s="34" t="str">
        <x:v>piece</x:v>
      </x:c>
      <x:c r="O21" s="37" t="n">
        <x:v>150000</x:v>
      </x:c>
      <x:c r="P21" s="37" t="n">
        <x:v>150000</x:v>
      </x:c>
      <x:c r="Q21" s="37" t="str">
        <x:v>IQD</x:v>
      </x:c>
      <x:c r="R21" s="37" t="str"/>
      <x:c r="S21" s="37" t="n">
        <x:v>150000</x:v>
      </x:c>
      <x:c r="T21" s="37" t="n">
        <x:v>150000</x:v>
      </x:c>
      <x:c r="U21" s="34" t="str">
        <x:v>PAID</x:v>
      </x:c>
      <x:c r="V21" s="34" t="str">
        <x:v>Cash on Hands</x:v>
      </x:c>
      <x:c r="W21" s="34" t="str">
        <x:v>HQ</x:v>
      </x:c>
      <x:c r="X21" s="34" t="str"/>
    </x:row>
    <x:row r="22">
      <x:c r="A22" s="33" t="str">
        <x:v>DOC000110</x:v>
      </x:c>
      <x:c r="B22" s="34" t="n">
        <x:v>1</x:v>
      </x:c>
      <x:c r="C22" s="35" t="str">
        <x:v>2026-02-04</x:v>
      </x:c>
      <x:c r="D22" s="34" t="str">
        <x:v>اوبريتنك سيستم</x:v>
      </x:c>
      <x:c r="E22" s="33" t="str">
        <x:v>2300</x:v>
      </x:c>
      <x:c r="F22" s="33" t="str">
        <x:v>DOC000110</x:v>
      </x:c>
      <x:c r="G22" s="34" t="str">
        <x:v>EXPENSE</x:v>
      </x:c>
      <x:c r="H22" s="34" t="str">
        <x:v>ذاكرة ميموري رام 256 كيكا</x:v>
      </x:c>
      <x:c r="I22" s="34" t="str">
        <x:v>TECH</x:v>
      </x:c>
      <x:c r="J22" s="34" t="str"/>
      <x:c r="K22" s="34" t="str"/>
      <x:c r="L22" s="34" t="str"/>
      <x:c r="M22" s="36" t="n">
        <x:v>1</x:v>
      </x:c>
      <x:c r="N22" s="34" t="str">
        <x:v>piece</x:v>
      </x:c>
      <x:c r="O22" s="37" t="n">
        <x:v>50000</x:v>
      </x:c>
      <x:c r="P22" s="37" t="n">
        <x:v>50000</x:v>
      </x:c>
      <x:c r="Q22" s="37" t="str">
        <x:v>IQD</x:v>
      </x:c>
      <x:c r="R22" s="37" t="str"/>
      <x:c r="S22" s="37" t="n">
        <x:v>50000</x:v>
      </x:c>
      <x:c r="T22" s="37" t="n">
        <x:v>50000</x:v>
      </x:c>
      <x:c r="U22" s="34" t="str">
        <x:v>PAID</x:v>
      </x:c>
      <x:c r="V22" s="34" t="str">
        <x:v>Cash on Hands</x:v>
      </x:c>
      <x:c r="W22" s="34" t="str">
        <x:v>HQ</x:v>
      </x:c>
      <x:c r="X22" s="34" t="str">
        <x:v>Date normalized from the workbook numeric cell to its visible day/month convention.</x:v>
      </x:c>
    </x:row>
    <x:row r="23">
      <x:c r="A23" s="33" t="str">
        <x:v>DOC000111</x:v>
      </x:c>
      <x:c r="B23" s="34" t="n">
        <x:v>1</x:v>
      </x:c>
      <x:c r="C23" s="35" t="str">
        <x:v>2026-03-09</x:v>
      </x:c>
      <x:c r="D23" s="34" t="str">
        <x:v>عقارات نعمان عولا حاجى</x:v>
      </x:c>
      <x:c r="E23" s="33" t="str">
        <x:v>697</x:v>
      </x:c>
      <x:c r="F23" s="33" t="str">
        <x:v>DOC000111</x:v>
      </x:c>
      <x:c r="G23" s="34" t="str">
        <x:v>SERVICE</x:v>
      </x:c>
      <x:c r="H23" s="34" t="str">
        <x:v>دفع ايجار المحل</x:v>
      </x:c>
      <x:c r="I23" s="34" t="str">
        <x:v>RENT</x:v>
      </x:c>
      <x:c r="J23" s="34" t="str"/>
      <x:c r="K23" s="34" t="str"/>
      <x:c r="L23" s="34" t="str"/>
      <x:c r="M23" s="36" t="n">
        <x:v>1</x:v>
      </x:c>
      <x:c r="N23" s="34" t="str">
        <x:v>piece</x:v>
      </x:c>
      <x:c r="O23" s="37" t="n">
        <x:v>200000</x:v>
      </x:c>
      <x:c r="P23" s="37" t="n">
        <x:v>200000</x:v>
      </x:c>
      <x:c r="Q23" s="37" t="str">
        <x:v>IQD</x:v>
      </x:c>
      <x:c r="R23" s="37" t="str"/>
      <x:c r="S23" s="37" t="n">
        <x:v>200000</x:v>
      </x:c>
      <x:c r="T23" s="37" t="n">
        <x:v>200000</x:v>
      </x:c>
      <x:c r="U23" s="34" t="str">
        <x:v>PAID</x:v>
      </x:c>
      <x:c r="V23" s="34" t="str">
        <x:v>Cash on Hands</x:v>
      </x:c>
      <x:c r="W23" s="34" t="str">
        <x:v>HQ</x:v>
      </x:c>
      <x:c r="X23" s="34" t="str">
        <x:v>Date normalized from the workbook numeric cell to its visible day/month convention.</x:v>
      </x:c>
    </x:row>
    <x:row r="24">
      <x:c r="A24" s="33" t="str">
        <x:v>DOC000112</x:v>
      </x:c>
      <x:c r="B24" s="34" t="n">
        <x:v>1</x:v>
      </x:c>
      <x:c r="C24" s="35" t="str">
        <x:v>2026-04-06</x:v>
      </x:c>
      <x:c r="D24" s="34" t="str">
        <x:v>عقارات نعمان عولا حاجى</x:v>
      </x:c>
      <x:c r="E24" s="33" t="str">
        <x:v>758</x:v>
      </x:c>
      <x:c r="F24" s="33" t="str">
        <x:v>DOC000112</x:v>
      </x:c>
      <x:c r="G24" s="34" t="str">
        <x:v>SERVICE</x:v>
      </x:c>
      <x:c r="H24" s="34" t="str">
        <x:v>دفع ايجار المحل</x:v>
      </x:c>
      <x:c r="I24" s="34" t="str">
        <x:v>RENT</x:v>
      </x:c>
      <x:c r="J24" s="34" t="str"/>
      <x:c r="K24" s="34" t="str"/>
      <x:c r="L24" s="34" t="str"/>
      <x:c r="M24" s="36" t="n">
        <x:v>1</x:v>
      </x:c>
      <x:c r="N24" s="34" t="str">
        <x:v>piece</x:v>
      </x:c>
      <x:c r="O24" s="37" t="n">
        <x:v>200000</x:v>
      </x:c>
      <x:c r="P24" s="37" t="n">
        <x:v>200000</x:v>
      </x:c>
      <x:c r="Q24" s="37" t="str">
        <x:v>IQD</x:v>
      </x:c>
      <x:c r="R24" s="37" t="str"/>
      <x:c r="S24" s="37" t="n">
        <x:v>200000</x:v>
      </x:c>
      <x:c r="T24" s="37" t="n">
        <x:v>200000</x:v>
      </x:c>
      <x:c r="U24" s="34" t="str">
        <x:v>PAID</x:v>
      </x:c>
      <x:c r="V24" s="34" t="str">
        <x:v>Cash on Hands</x:v>
      </x:c>
      <x:c r="W24" s="34" t="str">
        <x:v>HQ</x:v>
      </x:c>
      <x:c r="X24" s="34" t="str">
        <x:v>Date normalized from the workbook numeric cell to its visible day/month convention.</x:v>
      </x:c>
    </x:row>
    <x:row r="25">
      <x:c r="A25" s="33" t="str">
        <x:v>DOC000113</x:v>
      </x:c>
      <x:c r="B25" s="34" t="n">
        <x:v>1</x:v>
      </x:c>
      <x:c r="C25" s="35" t="str">
        <x:v>2026-01-31</x:v>
      </x:c>
      <x:c r="D25" s="34" t="str">
        <x:v>بيس</x:v>
      </x:c>
      <x:c r="E25" s="33" t="str">
        <x:v>25-0041</x:v>
      </x:c>
      <x:c r="F25" s="33" t="str">
        <x:v>DOC000113</x:v>
      </x:c>
      <x:c r="G25" s="34" t="str">
        <x:v>SERVICE</x:v>
      </x:c>
      <x:c r="H25" s="34" t="str">
        <x:v>لوح بورد فوم ابيض</x:v>
      </x:c>
      <x:c r="I25" s="34" t="str">
        <x:v>MARKETING</x:v>
      </x:c>
      <x:c r="J25" s="34" t="str"/>
      <x:c r="K25" s="34" t="str"/>
      <x:c r="L25" s="34" t="str"/>
      <x:c r="M25" s="36" t="n">
        <x:v>1</x:v>
      </x:c>
      <x:c r="N25" s="34" t="str">
        <x:v>piece</x:v>
      </x:c>
      <x:c r="O25" s="37" t="n">
        <x:v>20000</x:v>
      </x:c>
      <x:c r="P25" s="37" t="n">
        <x:v>20000</x:v>
      </x:c>
      <x:c r="Q25" s="37" t="str">
        <x:v>IQD</x:v>
      </x:c>
      <x:c r="R25" s="37" t="str"/>
      <x:c r="S25" s="37" t="n">
        <x:v>20000</x:v>
      </x:c>
      <x:c r="T25" s="37" t="n">
        <x:v>20000</x:v>
      </x:c>
      <x:c r="U25" s="34" t="str">
        <x:v>PAID</x:v>
      </x:c>
      <x:c r="V25" s="34" t="str">
        <x:v>Cash on Hands</x:v>
      </x:c>
      <x:c r="W25" s="34" t="str">
        <x:v>HQ</x:v>
      </x:c>
      <x:c r="X25" s="34" t="str"/>
    </x:row>
    <x:row r="26">
      <x:c r="A26" s="33" t="str">
        <x:v>DOC000114</x:v>
      </x:c>
      <x:c r="B26" s="34" t="n">
        <x:v>1</x:v>
      </x:c>
      <x:c r="C26" s="35" t="str">
        <x:v>2026-01-30</x:v>
      </x:c>
      <x:c r="D26" s="34" t="str">
        <x:v>هاي اكسبريس</x:v>
      </x:c>
      <x:c r="E26" s="33" t="str">
        <x:v>1623015</x:v>
      </x:c>
      <x:c r="F26" s="33" t="str">
        <x:v>DOC000114</x:v>
      </x:c>
      <x:c r="G26" s="34" t="str">
        <x:v>SERVICE</x:v>
      </x:c>
      <x:c r="H26" s="34" t="str">
        <x:v>اجور نقل نماذج الى سولو ستوديو</x:v>
      </x:c>
      <x:c r="I26" s="34" t="str">
        <x:v>SHIPPING</x:v>
      </x:c>
      <x:c r="J26" s="34" t="str"/>
      <x:c r="K26" s="34" t="str"/>
      <x:c r="L26" s="34" t="str"/>
      <x:c r="M26" s="36" t="n">
        <x:v>1</x:v>
      </x:c>
      <x:c r="N26" s="34" t="str">
        <x:v>piece</x:v>
      </x:c>
      <x:c r="O26" s="37" t="n">
        <x:v>12500</x:v>
      </x:c>
      <x:c r="P26" s="37" t="n">
        <x:v>12500</x:v>
      </x:c>
      <x:c r="Q26" s="37" t="str">
        <x:v>IQD</x:v>
      </x:c>
      <x:c r="R26" s="37" t="str"/>
      <x:c r="S26" s="37" t="n">
        <x:v>12500</x:v>
      </x:c>
      <x:c r="T26" s="37" t="n">
        <x:v>12500</x:v>
      </x:c>
      <x:c r="U26" s="34" t="str">
        <x:v>PAID</x:v>
      </x:c>
      <x:c r="V26" s="34" t="str">
        <x:v>Cash on Hands</x:v>
      </x:c>
      <x:c r="W26" s="34" t="str">
        <x:v>HQ</x:v>
      </x:c>
      <x:c r="X26" s="34" t="str"/>
    </x:row>
    <x:row r="27">
      <x:c r="A27" s="33" t="str">
        <x:v>DOC000115</x:v>
      </x:c>
      <x:c r="B27" s="34" t="n">
        <x:v>1</x:v>
      </x:c>
      <x:c r="C27" s="35" t="str">
        <x:v>2026-02-03</x:v>
      </x:c>
      <x:c r="D27" s="34" t="str">
        <x:v>عقارات نعمان عولا حاجى</x:v>
      </x:c>
      <x:c r="E27" s="33" t="str">
        <x:v>583</x:v>
      </x:c>
      <x:c r="F27" s="33" t="str">
        <x:v>DOC000115</x:v>
      </x:c>
      <x:c r="G27" s="34" t="str">
        <x:v>SERVICE</x:v>
      </x:c>
      <x:c r="H27" s="34" t="str">
        <x:v>دفع ايجار المحل</x:v>
      </x:c>
      <x:c r="I27" s="34" t="str">
        <x:v>RENT</x:v>
      </x:c>
      <x:c r="J27" s="34" t="str"/>
      <x:c r="K27" s="34" t="str"/>
      <x:c r="L27" s="34" t="str"/>
      <x:c r="M27" s="36" t="n">
        <x:v>1</x:v>
      </x:c>
      <x:c r="N27" s="34" t="str">
        <x:v>piece</x:v>
      </x:c>
      <x:c r="O27" s="37" t="n">
        <x:v>200000</x:v>
      </x:c>
      <x:c r="P27" s="37" t="n">
        <x:v>200000</x:v>
      </x:c>
      <x:c r="Q27" s="37" t="str">
        <x:v>IQD</x:v>
      </x:c>
      <x:c r="R27" s="37" t="str"/>
      <x:c r="S27" s="37" t="n">
        <x:v>200000</x:v>
      </x:c>
      <x:c r="T27" s="37" t="n">
        <x:v>200000</x:v>
      </x:c>
      <x:c r="U27" s="34" t="str">
        <x:v>PAID</x:v>
      </x:c>
      <x:c r="V27" s="34" t="str">
        <x:v>Cash on Hands</x:v>
      </x:c>
      <x:c r="W27" s="34" t="str">
        <x:v>HQ</x:v>
      </x:c>
      <x:c r="X27" s="34" t="str">
        <x:v>Date normalized from the workbook numeric cell to its visible day/month convention.</x:v>
      </x:c>
    </x:row>
    <x:row r="28">
      <x:c r="A28" s="33" t="str">
        <x:v>DOC000116</x:v>
      </x:c>
      <x:c r="B28" s="34" t="n">
        <x:v>1</x:v>
      </x:c>
      <x:c r="C28" s="35" t="str">
        <x:v>2025-12-20</x:v>
      </x:c>
      <x:c r="D28" s="34" t="str">
        <x:v>ديكورات روزكار</x:v>
      </x:c>
      <x:c r="E28" s="33" t="str">
        <x:v>DOC000116</x:v>
      </x:c>
      <x:c r="F28" s="33" t="str">
        <x:v>DOC000116</x:v>
      </x:c>
      <x:c r="G28" s="34" t="str">
        <x:v>EXPENSE</x:v>
      </x:c>
      <x:c r="H28" s="34" t="str">
        <x:v>لاستيك سكة 3 متر</x:v>
      </x:c>
      <x:c r="I28" s="34" t="str">
        <x:v>MAINTENANCE</x:v>
      </x:c>
      <x:c r="J28" s="34" t="str"/>
      <x:c r="K28" s="34" t="str"/>
      <x:c r="L28" s="34" t="str"/>
      <x:c r="M28" s="36" t="n">
        <x:v>2</x:v>
      </x:c>
      <x:c r="N28" s="34" t="str">
        <x:v>piece</x:v>
      </x:c>
      <x:c r="O28" s="37" t="n">
        <x:v>7</x:v>
      </x:c>
      <x:c r="P28" s="37" t="n">
        <x:v>14</x:v>
      </x:c>
      <x:c r="Q28" s="37" t="str">
        <x:v>USD</x:v>
      </x:c>
      <x:c r="R28" s="37" t="n">
        <x:v>1096.774</x:v>
      </x:c>
      <x:c r="S28" s="37" t="n">
        <x:v>15355</x:v>
      </x:c>
      <x:c r="T28" s="37" t="n">
        <x:v>34000</x:v>
      </x:c>
      <x:c r="U28" s="34" t="str">
        <x:v>PAID</x:v>
      </x:c>
      <x:c r="V28" s="34" t="str">
        <x:v>Cash on Hands</x:v>
      </x:c>
      <x:c r="W28" s="34" t="str">
        <x:v>HQ</x:v>
      </x:c>
      <x:c r="X28" s="34" t="str">
        <x:v>Invoice total controls; source detail sum was 31.</x:v>
      </x:c>
    </x:row>
    <x:row r="29">
      <x:c r="A29" s="33" t="str">
        <x:v>DOC000116</x:v>
      </x:c>
      <x:c r="B29" s="34" t="n">
        <x:v>2</x:v>
      </x:c>
      <x:c r="C29" s="35" t="str">
        <x:v>2025-12-20</x:v>
      </x:c>
      <x:c r="D29" s="34" t="str">
        <x:v>ديكورات روزكار</x:v>
      </x:c>
      <x:c r="E29" s="33" t="str">
        <x:v>DOC000116</x:v>
      </x:c>
      <x:c r="F29" s="33" t="str">
        <x:v>DOC000116</x:v>
      </x:c>
      <x:c r="G29" s="34" t="str">
        <x:v>EXPENSE</x:v>
      </x:c>
      <x:c r="H29" s="34" t="str">
        <x:v>لاستيك هايدروليك 220 سم</x:v>
      </x:c>
      <x:c r="I29" s="34" t="str">
        <x:v>MAINTENANCE</x:v>
      </x:c>
      <x:c r="J29" s="34" t="str"/>
      <x:c r="K29" s="34" t="str"/>
      <x:c r="L29" s="34" t="str"/>
      <x:c r="M29" s="36" t="n">
        <x:v>1</x:v>
      </x:c>
      <x:c r="N29" s="34" t="str">
        <x:v>piece</x:v>
      </x:c>
      <x:c r="O29" s="37" t="n">
        <x:v>3</x:v>
      </x:c>
      <x:c r="P29" s="37" t="n">
        <x:v>3</x:v>
      </x:c>
      <x:c r="Q29" s="37" t="str">
        <x:v>USD</x:v>
      </x:c>
      <x:c r="R29" s="37" t="n">
        <x:v>1096.774</x:v>
      </x:c>
      <x:c r="S29" s="37" t="n">
        <x:v>3290</x:v>
      </x:c>
      <x:c r="T29" s="37" t="n">
        <x:v>34000</x:v>
      </x:c>
      <x:c r="U29" s="34" t="str">
        <x:v>PAID</x:v>
      </x:c>
      <x:c r="V29" s="34" t="str">
        <x:v>Cash on Hands</x:v>
      </x:c>
      <x:c r="W29" s="34" t="str">
        <x:v>HQ</x:v>
      </x:c>
      <x:c r="X29" s="34" t="str">
        <x:v>Invoice total controls; source detail sum was 31.</x:v>
      </x:c>
    </x:row>
    <x:row r="30">
      <x:c r="A30" s="33" t="str">
        <x:v>DOC000116</x:v>
      </x:c>
      <x:c r="B30" s="34" t="n">
        <x:v>3</x:v>
      </x:c>
      <x:c r="C30" s="35" t="str">
        <x:v>2025-12-20</x:v>
      </x:c>
      <x:c r="D30" s="34" t="str">
        <x:v>ديكورات روزكار</x:v>
      </x:c>
      <x:c r="E30" s="33" t="str">
        <x:v>DOC000116</x:v>
      </x:c>
      <x:c r="F30" s="33" t="str">
        <x:v>DOC000116</x:v>
      </x:c>
      <x:c r="G30" s="34" t="str">
        <x:v>EXPENSE</x:v>
      </x:c>
      <x:c r="H30" s="34" t="str">
        <x:v>قفل سكة كون</x:v>
      </x:c>
      <x:c r="I30" s="34" t="str">
        <x:v>MAINTENANCE</x:v>
      </x:c>
      <x:c r="J30" s="34" t="str"/>
      <x:c r="K30" s="34" t="str"/>
      <x:c r="L30" s="34" t="str"/>
      <x:c r="M30" s="36" t="n">
        <x:v>1</x:v>
      </x:c>
      <x:c r="N30" s="34" t="str">
        <x:v>piece</x:v>
      </x:c>
      <x:c r="O30" s="37" t="n">
        <x:v>14</x:v>
      </x:c>
      <x:c r="P30" s="37" t="n">
        <x:v>14</x:v>
      </x:c>
      <x:c r="Q30" s="37" t="str">
        <x:v>USD</x:v>
      </x:c>
      <x:c r="R30" s="37" t="n">
        <x:v>1096.774</x:v>
      </x:c>
      <x:c r="S30" s="37" t="n">
        <x:v>15355</x:v>
      </x:c>
      <x:c r="T30" s="37" t="n">
        <x:v>34000</x:v>
      </x:c>
      <x:c r="U30" s="34" t="str">
        <x:v>PAID</x:v>
      </x:c>
      <x:c r="V30" s="34" t="str">
        <x:v>Cash on Hands</x:v>
      </x:c>
      <x:c r="W30" s="34" t="str">
        <x:v>HQ</x:v>
      </x:c>
      <x:c r="X30" s="34" t="str">
        <x:v>Invoice total controls; source detail sum was 31.</x:v>
      </x:c>
    </x:row>
    <x:row r="31">
      <x:c r="A31" s="33" t="str">
        <x:v>DOC000117</x:v>
      </x:c>
      <x:c r="B31" s="34" t="n">
        <x:v>1</x:v>
      </x:c>
      <x:c r="C31" s="35" t="str">
        <x:v>2025-12-17</x:v>
      </x:c>
      <x:c r="D31" s="34" t="str">
        <x:v>شركة جزيرة النخيل</x:v>
      </x:c>
      <x:c r="E31" s="33" t="str">
        <x:v>58252</x:v>
      </x:c>
      <x:c r="F31" s="33" t="str">
        <x:v>DOC000117</x:v>
      </x:c>
      <x:c r="G31" s="34" t="str">
        <x:v>EXPENSE</x:v>
      </x:c>
      <x:c r="H31" s="34" t="str">
        <x:v>اناء جرعة وزن ستنلس</x:v>
      </x:c>
      <x:c r="I31" s="34" t="str">
        <x:v>EQUIPMENT</x:v>
      </x:c>
      <x:c r="J31" s="34" t="str"/>
      <x:c r="K31" s="34" t="str"/>
      <x:c r="L31" s="34" t="str"/>
      <x:c r="M31" s="36" t="n">
        <x:v>1</x:v>
      </x:c>
      <x:c r="N31" s="34" t="str">
        <x:v>piece</x:v>
      </x:c>
      <x:c r="O31" s="37" t="n">
        <x:v>15000</x:v>
      </x:c>
      <x:c r="P31" s="37" t="n">
        <x:v>15000</x:v>
      </x:c>
      <x:c r="Q31" s="37" t="str">
        <x:v>IQD</x:v>
      </x:c>
      <x:c r="R31" s="37" t="str"/>
      <x:c r="S31" s="37" t="n">
        <x:v>10274</x:v>
      </x:c>
      <x:c r="T31" s="37" t="n">
        <x:v>100000</x:v>
      </x:c>
      <x:c r="U31" s="34" t="str">
        <x:v>PAID</x:v>
      </x:c>
      <x:c r="V31" s="34" t="str">
        <x:v>Cash on Hands</x:v>
      </x:c>
      <x:c r="W31" s="34" t="str">
        <x:v>HQ</x:v>
      </x:c>
      <x:c r="X31" s="34" t="str">
        <x:v>Invoice total controls; source detail sum was 146000.</x:v>
      </x:c>
    </x:row>
    <x:row r="32">
      <x:c r="A32" s="33" t="str">
        <x:v>DOC000117</x:v>
      </x:c>
      <x:c r="B32" s="34" t="n">
        <x:v>2</x:v>
      </x:c>
      <x:c r="C32" s="35" t="str">
        <x:v>2025-12-17</x:v>
      </x:c>
      <x:c r="D32" s="34" t="str">
        <x:v>شركة جزيرة النخيل</x:v>
      </x:c>
      <x:c r="E32" s="33" t="str">
        <x:v>58252</x:v>
      </x:c>
      <x:c r="F32" s="33" t="str">
        <x:v>DOC000117</x:v>
      </x:c>
      <x:c r="G32" s="34" t="str">
        <x:v>EXPENSE</x:v>
      </x:c>
      <x:c r="H32" s="34" t="str">
        <x:v>خاتم جرعات اسبريسو 51 ملم</x:v>
      </x:c>
      <x:c r="I32" s="34" t="str">
        <x:v>EQUIPMENT</x:v>
      </x:c>
      <x:c r="J32" s="34" t="str"/>
      <x:c r="K32" s="34" t="str"/>
      <x:c r="L32" s="34" t="str"/>
      <x:c r="M32" s="36" t="n">
        <x:v>1</x:v>
      </x:c>
      <x:c r="N32" s="34" t="str">
        <x:v>piece</x:v>
      </x:c>
      <x:c r="O32" s="37" t="n">
        <x:v>7000</x:v>
      </x:c>
      <x:c r="P32" s="37" t="n">
        <x:v>7000</x:v>
      </x:c>
      <x:c r="Q32" s="37" t="str">
        <x:v>IQD</x:v>
      </x:c>
      <x:c r="R32" s="37" t="str"/>
      <x:c r="S32" s="37" t="n">
        <x:v>4795</x:v>
      </x:c>
      <x:c r="T32" s="37" t="n">
        <x:v>100000</x:v>
      </x:c>
      <x:c r="U32" s="34" t="str">
        <x:v>PAID</x:v>
      </x:c>
      <x:c r="V32" s="34" t="str">
        <x:v>Cash on Hands</x:v>
      </x:c>
      <x:c r="W32" s="34" t="str">
        <x:v>HQ</x:v>
      </x:c>
      <x:c r="X32" s="34" t="str">
        <x:v>Invoice total controls; source detail sum was 146000.</x:v>
      </x:c>
    </x:row>
    <x:row r="33">
      <x:c r="A33" s="33" t="str">
        <x:v>DOC000117</x:v>
      </x:c>
      <x:c r="B33" s="34" t="n">
        <x:v>3</x:v>
      </x:c>
      <x:c r="C33" s="35" t="str">
        <x:v>2025-12-17</x:v>
      </x:c>
      <x:c r="D33" s="34" t="str">
        <x:v>شركة جزيرة النخيل</x:v>
      </x:c>
      <x:c r="E33" s="33" t="str">
        <x:v>58252</x:v>
      </x:c>
      <x:c r="F33" s="33" t="str">
        <x:v>DOC000117</x:v>
      </x:c>
      <x:c r="G33" s="34" t="str">
        <x:v>EXPENSE</x:v>
      </x:c>
      <x:c r="H33" s="34" t="str">
        <x:v>موزع تامبر51 ملم</x:v>
      </x:c>
      <x:c r="I33" s="34" t="str">
        <x:v>EQUIPMENT</x:v>
      </x:c>
      <x:c r="J33" s="34" t="str"/>
      <x:c r="K33" s="34" t="str"/>
      <x:c r="L33" s="34" t="str"/>
      <x:c r="M33" s="36" t="n">
        <x:v>1</x:v>
      </x:c>
      <x:c r="N33" s="34" t="str">
        <x:v>piece</x:v>
      </x:c>
      <x:c r="O33" s="37" t="n">
        <x:v>25000</x:v>
      </x:c>
      <x:c r="P33" s="37" t="n">
        <x:v>25000</x:v>
      </x:c>
      <x:c r="Q33" s="37" t="str">
        <x:v>IQD</x:v>
      </x:c>
      <x:c r="R33" s="37" t="str"/>
      <x:c r="S33" s="37" t="n">
        <x:v>17123</x:v>
      </x:c>
      <x:c r="T33" s="37" t="n">
        <x:v>100000</x:v>
      </x:c>
      <x:c r="U33" s="34" t="str">
        <x:v>PAID</x:v>
      </x:c>
      <x:c r="V33" s="34" t="str">
        <x:v>Cash on Hands</x:v>
      </x:c>
      <x:c r="W33" s="34" t="str">
        <x:v>HQ</x:v>
      </x:c>
      <x:c r="X33" s="34" t="str">
        <x:v>Invoice total controls; source detail sum was 146000.</x:v>
      </x:c>
    </x:row>
    <x:row r="34">
      <x:c r="A34" s="33" t="str">
        <x:v>DOC000117</x:v>
      </x:c>
      <x:c r="B34" s="34" t="n">
        <x:v>4</x:v>
      </x:c>
      <x:c r="C34" s="35" t="str">
        <x:v>2025-12-17</x:v>
      </x:c>
      <x:c r="D34" s="34" t="str">
        <x:v>شركة جزيرة النخيل</x:v>
      </x:c>
      <x:c r="E34" s="33" t="str">
        <x:v>58252</x:v>
      </x:c>
      <x:c r="F34" s="33" t="str">
        <x:v>DOC000117</x:v>
      </x:c>
      <x:c r="G34" s="34" t="str">
        <x:v>EXPENSE</x:v>
      </x:c>
      <x:c r="H34" s="34" t="str">
        <x:v>ميزان حرارة</x:v>
      </x:c>
      <x:c r="I34" s="34" t="str">
        <x:v>EQUIPMENT</x:v>
      </x:c>
      <x:c r="J34" s="34" t="str"/>
      <x:c r="K34" s="34" t="str"/>
      <x:c r="L34" s="34" t="str"/>
      <x:c r="M34" s="36" t="n">
        <x:v>1</x:v>
      </x:c>
      <x:c r="N34" s="34" t="str">
        <x:v>piece</x:v>
      </x:c>
      <x:c r="O34" s="37" t="n">
        <x:v>15000</x:v>
      </x:c>
      <x:c r="P34" s="37" t="n">
        <x:v>15000</x:v>
      </x:c>
      <x:c r="Q34" s="37" t="str">
        <x:v>IQD</x:v>
      </x:c>
      <x:c r="R34" s="37" t="str"/>
      <x:c r="S34" s="37" t="n">
        <x:v>10274</x:v>
      </x:c>
      <x:c r="T34" s="37" t="n">
        <x:v>100000</x:v>
      </x:c>
      <x:c r="U34" s="34" t="str">
        <x:v>PAID</x:v>
      </x:c>
      <x:c r="V34" s="34" t="str">
        <x:v>Cash on Hands</x:v>
      </x:c>
      <x:c r="W34" s="34" t="str">
        <x:v>HQ</x:v>
      </x:c>
      <x:c r="X34" s="34" t="str">
        <x:v>Invoice total controls; source detail sum was 146000.</x:v>
      </x:c>
    </x:row>
    <x:row r="35">
      <x:c r="A35" s="33" t="str">
        <x:v>DOC000117</x:v>
      </x:c>
      <x:c r="B35" s="34" t="n">
        <x:v>5</x:v>
      </x:c>
      <x:c r="C35" s="35" t="str">
        <x:v>2025-12-17</x:v>
      </x:c>
      <x:c r="D35" s="34" t="str">
        <x:v>شركة جزيرة النخيل</x:v>
      </x:c>
      <x:c r="E35" s="33" t="str">
        <x:v>58252</x:v>
      </x:c>
      <x:c r="F35" s="33" t="str">
        <x:v>DOC000117</x:v>
      </x:c>
      <x:c r="G35" s="34" t="str">
        <x:v>EXPENSE</x:v>
      </x:c>
      <x:c r="H35" s="34" t="str">
        <x:v>بخاخ ترطيب حبوب</x:v>
      </x:c>
      <x:c r="I35" s="34" t="str">
        <x:v>EQUIPMENT</x:v>
      </x:c>
      <x:c r="J35" s="34" t="str"/>
      <x:c r="K35" s="34" t="str"/>
      <x:c r="L35" s="34" t="str"/>
      <x:c r="M35" s="36" t="n">
        <x:v>1</x:v>
      </x:c>
      <x:c r="N35" s="34" t="str">
        <x:v>piece</x:v>
      </x:c>
      <x:c r="O35" s="37" t="n">
        <x:v>9000</x:v>
      </x:c>
      <x:c r="P35" s="37" t="n">
        <x:v>9000</x:v>
      </x:c>
      <x:c r="Q35" s="37" t="str">
        <x:v>IQD</x:v>
      </x:c>
      <x:c r="R35" s="37" t="str"/>
      <x:c r="S35" s="37" t="n">
        <x:v>6164</x:v>
      </x:c>
      <x:c r="T35" s="37" t="n">
        <x:v>100000</x:v>
      </x:c>
      <x:c r="U35" s="34" t="str">
        <x:v>PAID</x:v>
      </x:c>
      <x:c r="V35" s="34" t="str">
        <x:v>Cash on Hands</x:v>
      </x:c>
      <x:c r="W35" s="34" t="str">
        <x:v>HQ</x:v>
      </x:c>
      <x:c r="X35" s="34" t="str">
        <x:v>Invoice total controls; source detail sum was 146000.</x:v>
      </x:c>
    </x:row>
    <x:row r="36">
      <x:c r="A36" s="33" t="str">
        <x:v>DOC000117</x:v>
      </x:c>
      <x:c r="B36" s="34" t="n">
        <x:v>6</x:v>
      </x:c>
      <x:c r="C36" s="35" t="str">
        <x:v>2025-12-17</x:v>
      </x:c>
      <x:c r="D36" s="34" t="str">
        <x:v>شركة جزيرة النخيل</x:v>
      </x:c>
      <x:c r="E36" s="33" t="str">
        <x:v>58252</x:v>
      </x:c>
      <x:c r="F36" s="33" t="str">
        <x:v>DOC000117</x:v>
      </x:c>
      <x:c r="G36" s="34" t="str">
        <x:v>EXPENSE</x:v>
      </x:c>
      <x:c r="H36" s="34" t="str">
        <x:v>تامبر اسبريبسو</x:v>
      </x:c>
      <x:c r="I36" s="34" t="str">
        <x:v>EQUIPMENT</x:v>
      </x:c>
      <x:c r="J36" s="34" t="str"/>
      <x:c r="K36" s="34" t="str"/>
      <x:c r="L36" s="34" t="str"/>
      <x:c r="M36" s="36" t="n">
        <x:v>1</x:v>
      </x:c>
      <x:c r="N36" s="34" t="str">
        <x:v>piece</x:v>
      </x:c>
      <x:c r="O36" s="37" t="n">
        <x:v>35000</x:v>
      </x:c>
      <x:c r="P36" s="37" t="n">
        <x:v>35000</x:v>
      </x:c>
      <x:c r="Q36" s="37" t="str">
        <x:v>IQD</x:v>
      </x:c>
      <x:c r="R36" s="37" t="str"/>
      <x:c r="S36" s="37" t="n">
        <x:v>23973</x:v>
      </x:c>
      <x:c r="T36" s="37" t="n">
        <x:v>100000</x:v>
      </x:c>
      <x:c r="U36" s="34" t="str">
        <x:v>PAID</x:v>
      </x:c>
      <x:c r="V36" s="34" t="str">
        <x:v>Cash on Hands</x:v>
      </x:c>
      <x:c r="W36" s="34" t="str">
        <x:v>HQ</x:v>
      </x:c>
      <x:c r="X36" s="34" t="str">
        <x:v>Invoice total controls; source detail sum was 146000.</x:v>
      </x:c>
    </x:row>
    <x:row r="37">
      <x:c r="A37" s="33" t="str">
        <x:v>DOC000117</x:v>
      </x:c>
      <x:c r="B37" s="34" t="n">
        <x:v>7</x:v>
      </x:c>
      <x:c r="C37" s="35" t="str">
        <x:v>2025-12-17</x:v>
      </x:c>
      <x:c r="D37" s="34" t="str">
        <x:v>شركة جزيرة النخيل</x:v>
      </x:c>
      <x:c r="E37" s="33" t="str">
        <x:v>58252</x:v>
      </x:c>
      <x:c r="F37" s="33" t="str">
        <x:v>DOC000117</x:v>
      </x:c>
      <x:c r="G37" s="34" t="str">
        <x:v>EXPENSE</x:v>
      </x:c>
      <x:c r="H37" s="34" t="str">
        <x:v>فلتر يدة</x:v>
      </x:c>
      <x:c r="I37" s="34" t="str">
        <x:v>EQUIPMENT</x:v>
      </x:c>
      <x:c r="J37" s="34" t="str"/>
      <x:c r="K37" s="34" t="str"/>
      <x:c r="L37" s="34" t="str"/>
      <x:c r="M37" s="36" t="n">
        <x:v>1</x:v>
      </x:c>
      <x:c r="N37" s="34" t="str">
        <x:v>piece</x:v>
      </x:c>
      <x:c r="O37" s="37" t="n">
        <x:v>40000</x:v>
      </x:c>
      <x:c r="P37" s="37" t="n">
        <x:v>40000</x:v>
      </x:c>
      <x:c r="Q37" s="37" t="str">
        <x:v>IQD</x:v>
      </x:c>
      <x:c r="R37" s="37" t="str"/>
      <x:c r="S37" s="37" t="n">
        <x:v>27397</x:v>
      </x:c>
      <x:c r="T37" s="37" t="n">
        <x:v>100000</x:v>
      </x:c>
      <x:c r="U37" s="34" t="str">
        <x:v>PAID</x:v>
      </x:c>
      <x:c r="V37" s="34" t="str">
        <x:v>Cash on Hands</x:v>
      </x:c>
      <x:c r="W37" s="34" t="str">
        <x:v>HQ</x:v>
      </x:c>
      <x:c r="X37" s="34" t="str">
        <x:v>Invoice total controls; source detail sum was 146000.</x:v>
      </x:c>
    </x:row>
    <x:row r="38">
      <x:c r="A38" s="33" t="str">
        <x:v>DOC000118</x:v>
      </x:c>
      <x:c r="B38" s="34" t="n">
        <x:v>1</x:v>
      </x:c>
      <x:c r="C38" s="35" t="str">
        <x:v>2026-02-01</x:v>
      </x:c>
      <x:c r="D38" s="34" t="str">
        <x:v>انجيكو</x:v>
      </x:c>
      <x:c r="E38" s="33" t="str">
        <x:v>DOC000118</x:v>
      </x:c>
      <x:c r="F38" s="33" t="str">
        <x:v>DOC000118</x:v>
      </x:c>
      <x:c r="G38" s="34" t="str">
        <x:v>EXPENSE</x:v>
      </x:c>
      <x:c r="H38" s="34" t="str">
        <x:v>مسدس صبغ كهرباء</x:v>
      </x:c>
      <x:c r="I38" s="34" t="str">
        <x:v>MAINTENANCE</x:v>
      </x:c>
      <x:c r="J38" s="34" t="str"/>
      <x:c r="K38" s="34" t="str"/>
      <x:c r="L38" s="34" t="str"/>
      <x:c r="M38" s="36" t="n">
        <x:v>1</x:v>
      </x:c>
      <x:c r="N38" s="34" t="str">
        <x:v>piece</x:v>
      </x:c>
      <x:c r="O38" s="37" t="n">
        <x:v>20000</x:v>
      </x:c>
      <x:c r="P38" s="37" t="n">
        <x:v>20000</x:v>
      </x:c>
      <x:c r="Q38" s="37" t="str">
        <x:v>IQD</x:v>
      </x:c>
      <x:c r="R38" s="37" t="str"/>
      <x:c r="S38" s="37" t="n">
        <x:v>20000</x:v>
      </x:c>
      <x:c r="T38" s="37" t="n">
        <x:v>20000</x:v>
      </x:c>
      <x:c r="U38" s="34" t="str">
        <x:v>PAID</x:v>
      </x:c>
      <x:c r="V38" s="34" t="str">
        <x:v>Cash on Hands</x:v>
      </x:c>
      <x:c r="W38" s="34" t="str">
        <x:v>HQ</x:v>
      </x:c>
      <x:c r="X38" s="34" t="str">
        <x:v>Date normalized from the workbook numeric cell to its visible day/month convention.</x:v>
      </x:c>
    </x:row>
    <x:row r="39">
      <x:c r="A39" s="33" t="str">
        <x:v>DOC000119</x:v>
      </x:c>
      <x:c r="B39" s="34" t="n">
        <x:v>1</x:v>
      </x:c>
      <x:c r="C39" s="35" t="str">
        <x:v>2026-02-01</x:v>
      </x:c>
      <x:c r="D39" s="34" t="str">
        <x:v>انجيكو</x:v>
      </x:c>
      <x:c r="E39" s="33" t="str">
        <x:v>DOC000119</x:v>
      </x:c>
      <x:c r="F39" s="33" t="str">
        <x:v>DOC000119</x:v>
      </x:c>
      <x:c r="G39" s="34" t="str">
        <x:v>EXPENSE</x:v>
      </x:c>
      <x:c r="H39" s="34" t="str">
        <x:v>سلم ستاند 6 باية</x:v>
      </x:c>
      <x:c r="I39" s="34" t="str">
        <x:v>EQUIPMENT</x:v>
      </x:c>
      <x:c r="J39" s="34" t="str"/>
      <x:c r="K39" s="34" t="str"/>
      <x:c r="L39" s="34" t="str"/>
      <x:c r="M39" s="36" t="n">
        <x:v>1</x:v>
      </x:c>
      <x:c r="N39" s="34" t="str">
        <x:v>piece</x:v>
      </x:c>
      <x:c r="O39" s="37" t="n">
        <x:v>70000</x:v>
      </x:c>
      <x:c r="P39" s="37" t="n">
        <x:v>70000</x:v>
      </x:c>
      <x:c r="Q39" s="37" t="str">
        <x:v>IQD</x:v>
      </x:c>
      <x:c r="R39" s="37" t="str"/>
      <x:c r="S39" s="37" t="n">
        <x:v>70000</x:v>
      </x:c>
      <x:c r="T39" s="37" t="n">
        <x:v>70000</x:v>
      </x:c>
      <x:c r="U39" s="34" t="str">
        <x:v>PAID</x:v>
      </x:c>
      <x:c r="V39" s="34" t="str">
        <x:v>Cash on Hands</x:v>
      </x:c>
      <x:c r="W39" s="34" t="str">
        <x:v>HQ</x:v>
      </x:c>
      <x:c r="X39" s="34" t="str">
        <x:v>Date normalized from the workbook numeric cell to its visible day/month convention.</x:v>
      </x:c>
    </x:row>
    <x:row r="40">
      <x:c r="A40" s="33" t="str">
        <x:v>DOC000120</x:v>
      </x:c>
      <x:c r="B40" s="34" t="n">
        <x:v>1</x:v>
      </x:c>
      <x:c r="C40" s="35" t="str">
        <x:v>2026-02-01</x:v>
      </x:c>
      <x:c r="D40" s="34" t="str">
        <x:v>ادوات النجار</x:v>
      </x:c>
      <x:c r="E40" s="33" t="str">
        <x:v>1204</x:v>
      </x:c>
      <x:c r="F40" s="33" t="str">
        <x:v>DOC000120</x:v>
      </x:c>
      <x:c r="G40" s="34" t="str">
        <x:v>EXPENSE</x:v>
      </x:c>
      <x:c r="H40" s="34" t="str">
        <x:v>نصف سطل صبغ مرجان</x:v>
      </x:c>
      <x:c r="I40" s="34" t="str">
        <x:v>MAINTENANCE</x:v>
      </x:c>
      <x:c r="J40" s="34" t="str"/>
      <x:c r="K40" s="34" t="str"/>
      <x:c r="L40" s="34" t="str"/>
      <x:c r="M40" s="36" t="n">
        <x:v>1</x:v>
      </x:c>
      <x:c r="N40" s="34" t="str">
        <x:v>piece</x:v>
      </x:c>
      <x:c r="O40" s="37" t="n">
        <x:v>25000</x:v>
      </x:c>
      <x:c r="P40" s="37" t="n">
        <x:v>25000</x:v>
      </x:c>
      <x:c r="Q40" s="37" t="str">
        <x:v>IQD</x:v>
      </x:c>
      <x:c r="R40" s="37" t="str"/>
      <x:c r="S40" s="37" t="n">
        <x:v>25000</x:v>
      </x:c>
      <x:c r="T40" s="37" t="n">
        <x:v>25000</x:v>
      </x:c>
      <x:c r="U40" s="34" t="str">
        <x:v>PAID</x:v>
      </x:c>
      <x:c r="V40" s="34" t="str">
        <x:v>Cash on Hands</x:v>
      </x:c>
      <x:c r="W40" s="34" t="str">
        <x:v>HQ</x:v>
      </x:c>
      <x:c r="X40" s="34" t="str">
        <x:v>Date normalized from the workbook numeric cell to its visible day/month convention.</x:v>
      </x:c>
    </x:row>
    <x:row r="41">
      <x:c r="A41" s="33" t="str">
        <x:v>DOC000121</x:v>
      </x:c>
      <x:c r="B41" s="34" t="n">
        <x:v>1</x:v>
      </x:c>
      <x:c r="C41" s="35" t="str">
        <x:v>2026-02-01</x:v>
      </x:c>
      <x:c r="D41" s="34" t="str">
        <x:v>انجيكو</x:v>
      </x:c>
      <x:c r="E41" s="33" t="str">
        <x:v>DOC000121</x:v>
      </x:c>
      <x:c r="F41" s="33" t="str">
        <x:v>DOC000121</x:v>
      </x:c>
      <x:c r="G41" s="34" t="str">
        <x:v>EXPENSE</x:v>
      </x:c>
      <x:c r="H41" s="34" t="str">
        <x:v>سيار 10 متر ديلو</x:v>
      </x:c>
      <x:c r="I41" s="34" t="str">
        <x:v>EQUIPMENT</x:v>
      </x:c>
      <x:c r="J41" s="34" t="str"/>
      <x:c r="K41" s="34" t="str"/>
      <x:c r="L41" s="34" t="str"/>
      <x:c r="M41" s="36" t="n">
        <x:v>1</x:v>
      </x:c>
      <x:c r="N41" s="34" t="str">
        <x:v>piece</x:v>
      </x:c>
      <x:c r="O41" s="37" t="n">
        <x:v>10000</x:v>
      </x:c>
      <x:c r="P41" s="37" t="n">
        <x:v>10000</x:v>
      </x:c>
      <x:c r="Q41" s="37" t="str">
        <x:v>IQD</x:v>
      </x:c>
      <x:c r="R41" s="37" t="str"/>
      <x:c r="S41" s="37" t="n">
        <x:v>10000</x:v>
      </x:c>
      <x:c r="T41" s="37" t="n">
        <x:v>10000</x:v>
      </x:c>
      <x:c r="U41" s="34" t="str">
        <x:v>PAID</x:v>
      </x:c>
      <x:c r="V41" s="34" t="str">
        <x:v>Cash on Hands</x:v>
      </x:c>
      <x:c r="W41" s="34" t="str">
        <x:v>HQ</x:v>
      </x:c>
      <x:c r="X41" s="34" t="str">
        <x:v>Date normalized from the workbook numeric cell to its visible day/month convention.</x:v>
      </x:c>
    </x:row>
    <x:row r="42">
      <x:c r="A42" s="33" t="str">
        <x:v>DOC000122</x:v>
      </x:c>
      <x:c r="B42" s="34" t="n">
        <x:v>1</x:v>
      </x:c>
      <x:c r="C42" s="35" t="str">
        <x:v>2025-11-18</x:v>
      </x:c>
      <x:c r="D42" s="34" t="str">
        <x:v>جزيرة النخيل</x:v>
      </x:c>
      <x:c r="E42" s="33" t="str">
        <x:v>56867</x:v>
      </x:c>
      <x:c r="F42" s="33" t="str">
        <x:v>DOC000122</x:v>
      </x:c>
      <x:c r="G42" s="34" t="str">
        <x:v>ASSET</x:v>
      </x:c>
      <x:c r="H42" s="34" t="str">
        <x:v>مكينة ديلونجي</x:v>
      </x:c>
      <x:c r="I42" s="34" t="str">
        <x:v>EQUIPMENT</x:v>
      </x:c>
      <x:c r="J42" s="34" t="str"/>
      <x:c r="K42" s="34" t="str">
        <x:v>DOC000122-01</x:v>
      </x:c>
      <x:c r="L42" s="34" t="str">
        <x:v>Coffee equipment</x:v>
      </x:c>
      <x:c r="M42" s="36" t="n">
        <x:v>1</x:v>
      </x:c>
      <x:c r="N42" s="34" t="str">
        <x:v>piece</x:v>
      </x:c>
      <x:c r="O42" s="37" t="n">
        <x:v>211000</x:v>
      </x:c>
      <x:c r="P42" s="37" t="n">
        <x:v>211000</x:v>
      </x:c>
      <x:c r="Q42" s="37" t="str">
        <x:v>IQD</x:v>
      </x:c>
      <x:c r="R42" s="37" t="str"/>
      <x:c r="S42" s="37" t="n">
        <x:v>211000</x:v>
      </x:c>
      <x:c r="T42" s="37" t="n">
        <x:v>247000</x:v>
      </x:c>
      <x:c r="U42" s="34" t="str">
        <x:v>PAID</x:v>
      </x:c>
      <x:c r="V42" s="34" t="str">
        <x:v>Cash on Hands</x:v>
      </x:c>
      <x:c r="W42" s="34" t="str">
        <x:v>HQ</x:v>
      </x:c>
      <x:c r="X42" s="34" t="str"/>
    </x:row>
    <x:row r="43">
      <x:c r="A43" s="33" t="str">
        <x:v>DOC000122</x:v>
      </x:c>
      <x:c r="B43" s="34" t="n">
        <x:v>2</x:v>
      </x:c>
      <x:c r="C43" s="35" t="str">
        <x:v>2025-11-18</x:v>
      </x:c>
      <x:c r="D43" s="34" t="str">
        <x:v>جزيرة النخيل</x:v>
      </x:c>
      <x:c r="E43" s="33" t="str">
        <x:v>56867</x:v>
      </x:c>
      <x:c r="F43" s="33" t="str">
        <x:v>DOC000122</x:v>
      </x:c>
      <x:c r="G43" s="34" t="str">
        <x:v>INVENTORY</x:v>
      </x:c>
      <x:c r="H43" s="34" t="str">
        <x:v>قهوة بريستوت اثيوبيا</x:v>
      </x:c>
      <x:c r="I43" s="34" t="str">
        <x:v>GREEN_COFFEE</x:v>
      </x:c>
      <x:c r="J43" s="34" t="str">
        <x:v>ROASTED</x:v>
      </x:c>
      <x:c r="K43" s="34" t="str"/>
      <x:c r="L43" s="34" t="str"/>
      <x:c r="M43" s="36" t="n">
        <x:v>1</x:v>
      </x:c>
      <x:c r="N43" s="34" t="str">
        <x:v>piece</x:v>
      </x:c>
      <x:c r="O43" s="37" t="n">
        <x:v>12000</x:v>
      </x:c>
      <x:c r="P43" s="37" t="n">
        <x:v>12000</x:v>
      </x:c>
      <x:c r="Q43" s="37" t="str">
        <x:v>IQD</x:v>
      </x:c>
      <x:c r="R43" s="37" t="str"/>
      <x:c r="S43" s="37" t="n">
        <x:v>12000</x:v>
      </x:c>
      <x:c r="T43" s="37" t="n">
        <x:v>247000</x:v>
      </x:c>
      <x:c r="U43" s="34" t="str">
        <x:v>PAID</x:v>
      </x:c>
      <x:c r="V43" s="34" t="str">
        <x:v>Cash on Hands</x:v>
      </x:c>
      <x:c r="W43" s="34" t="str">
        <x:v>HQ</x:v>
      </x:c>
      <x:c r="X43" s="34" t="str"/>
    </x:row>
    <x:row r="44">
      <x:c r="A44" s="33" t="str">
        <x:v>DOC000122</x:v>
      </x:c>
      <x:c r="B44" s="34" t="n">
        <x:v>3</x:v>
      </x:c>
      <x:c r="C44" s="35" t="str">
        <x:v>2025-11-18</x:v>
      </x:c>
      <x:c r="D44" s="34" t="str">
        <x:v>جزيرة النخيل</x:v>
      </x:c>
      <x:c r="E44" s="33" t="str">
        <x:v>56867</x:v>
      </x:c>
      <x:c r="F44" s="33" t="str">
        <x:v>DOC000122</x:v>
      </x:c>
      <x:c r="G44" s="34" t="str">
        <x:v>INVENTORY</x:v>
      </x:c>
      <x:c r="H44" s="34" t="str">
        <x:v>قهوة بريستوت برازيل</x:v>
      </x:c>
      <x:c r="I44" s="34" t="str">
        <x:v>GREEN_COFFEE</x:v>
      </x:c>
      <x:c r="J44" s="34" t="str">
        <x:v>ROASTED</x:v>
      </x:c>
      <x:c r="K44" s="34" t="str"/>
      <x:c r="L44" s="34" t="str"/>
      <x:c r="M44" s="36" t="n">
        <x:v>1</x:v>
      </x:c>
      <x:c r="N44" s="34" t="str">
        <x:v>piece</x:v>
      </x:c>
      <x:c r="O44" s="37" t="n">
        <x:v>12000</x:v>
      </x:c>
      <x:c r="P44" s="37" t="n">
        <x:v>12000</x:v>
      </x:c>
      <x:c r="Q44" s="37" t="str">
        <x:v>IQD</x:v>
      </x:c>
      <x:c r="R44" s="37" t="str"/>
      <x:c r="S44" s="37" t="n">
        <x:v>12000</x:v>
      </x:c>
      <x:c r="T44" s="37" t="n">
        <x:v>247000</x:v>
      </x:c>
      <x:c r="U44" s="34" t="str">
        <x:v>PAID</x:v>
      </x:c>
      <x:c r="V44" s="34" t="str">
        <x:v>Cash on Hands</x:v>
      </x:c>
      <x:c r="W44" s="34" t="str">
        <x:v>HQ</x:v>
      </x:c>
      <x:c r="X44" s="34" t="str"/>
    </x:row>
    <x:row r="45">
      <x:c r="A45" s="33" t="str">
        <x:v>DOC000122</x:v>
      </x:c>
      <x:c r="B45" s="34" t="n">
        <x:v>4</x:v>
      </x:c>
      <x:c r="C45" s="35" t="str">
        <x:v>2025-11-18</x:v>
      </x:c>
      <x:c r="D45" s="34" t="str">
        <x:v>جزيرة النخيل</x:v>
      </x:c>
      <x:c r="E45" s="33" t="str">
        <x:v>56867</x:v>
      </x:c>
      <x:c r="F45" s="33" t="str">
        <x:v>DOC000122</x:v>
      </x:c>
      <x:c r="G45" s="34" t="str">
        <x:v>INVENTORY</x:v>
      </x:c>
      <x:c r="H45" s="34" t="str">
        <x:v>قهوة بريستوت كولومبيا</x:v>
      </x:c>
      <x:c r="I45" s="34" t="str">
        <x:v>GREEN_COFFEE</x:v>
      </x:c>
      <x:c r="J45" s="34" t="str">
        <x:v>ROASTED</x:v>
      </x:c>
      <x:c r="K45" s="34" t="str"/>
      <x:c r="L45" s="34" t="str"/>
      <x:c r="M45" s="36" t="n">
        <x:v>1</x:v>
      </x:c>
      <x:c r="N45" s="34" t="str">
        <x:v>piece</x:v>
      </x:c>
      <x:c r="O45" s="37" t="n">
        <x:v>12000</x:v>
      </x:c>
      <x:c r="P45" s="37" t="n">
        <x:v>12000</x:v>
      </x:c>
      <x:c r="Q45" s="37" t="str">
        <x:v>IQD</x:v>
      </x:c>
      <x:c r="R45" s="37" t="str"/>
      <x:c r="S45" s="37" t="n">
        <x:v>12000</x:v>
      </x:c>
      <x:c r="T45" s="37" t="n">
        <x:v>247000</x:v>
      </x:c>
      <x:c r="U45" s="34" t="str">
        <x:v>PAID</x:v>
      </x:c>
      <x:c r="V45" s="34" t="str">
        <x:v>Cash on Hands</x:v>
      </x:c>
      <x:c r="W45" s="34" t="str">
        <x:v>HQ</x:v>
      </x:c>
      <x:c r="X45" s="34" t="str"/>
    </x:row>
    <x:row r="46">
      <x:c r="A46" s="33" t="str">
        <x:v>DOC000123</x:v>
      </x:c>
      <x:c r="B46" s="34" t="n">
        <x:v>1</x:v>
      </x:c>
      <x:c r="C46" s="35" t="str">
        <x:v>2026-02-07</x:v>
      </x:c>
      <x:c r="D46" s="34" t="str">
        <x:v>اشتي ستيل</x:v>
      </x:c>
      <x:c r="E46" s="33" t="str">
        <x:v>171</x:v>
      </x:c>
      <x:c r="F46" s="33" t="str">
        <x:v>DOC000123</x:v>
      </x:c>
      <x:c r="G46" s="34" t="str">
        <x:v>ASSET</x:v>
      </x:c>
      <x:c r="H46" s="34" t="str">
        <x:v>ميز ستيل</x:v>
      </x:c>
      <x:c r="I46" s="34" t="str">
        <x:v>EQUIPMENT</x:v>
      </x:c>
      <x:c r="J46" s="34" t="str"/>
      <x:c r="K46" s="34" t="str">
        <x:v>DOC000123-01</x:v>
      </x:c>
      <x:c r="L46" s="34" t="str">
        <x:v>Furniture &amp; fixtures</x:v>
      </x:c>
      <x:c r="M46" s="36" t="n">
        <x:v>1</x:v>
      </x:c>
      <x:c r="N46" s="34" t="str">
        <x:v>piece</x:v>
      </x:c>
      <x:c r="O46" s="37" t="n">
        <x:v>100</x:v>
      </x:c>
      <x:c r="P46" s="37" t="n">
        <x:v>100</x:v>
      </x:c>
      <x:c r="Q46" s="37" t="str">
        <x:v>USD</x:v>
      </x:c>
      <x:c r="R46" s="37" t="n">
        <x:v>1500</x:v>
      </x:c>
      <x:c r="S46" s="37" t="n">
        <x:v>150000</x:v>
      </x:c>
      <x:c r="T46" s="37" t="n">
        <x:v>150000</x:v>
      </x:c>
      <x:c r="U46" s="34" t="str">
        <x:v>PAID</x:v>
      </x:c>
      <x:c r="V46" s="34" t="str">
        <x:v>Cash on Hands</x:v>
      </x:c>
      <x:c r="W46" s="34" t="str">
        <x:v>HQ</x:v>
      </x:c>
      <x:c r="X46" s="34" t="str">
        <x:v>Date normalized from the workbook numeric cell to its visible day/month convention. Invoice total controls; source detail sum was 100.</x:v>
      </x:c>
    </x:row>
    <x:row r="47">
      <x:c r="A47" s="33" t="str">
        <x:v>DOC000124</x:v>
      </x:c>
      <x:c r="B47" s="34" t="n">
        <x:v>1</x:v>
      </x:c>
      <x:c r="C47" s="35" t="str">
        <x:v>2026-02-02</x:v>
      </x:c>
      <x:c r="D47" s="34" t="str">
        <x:v>اشتي ستيل</x:v>
      </x:c>
      <x:c r="E47" s="33" t="str">
        <x:v>161</x:v>
      </x:c>
      <x:c r="F47" s="33" t="str">
        <x:v>DOC000124</x:v>
      </x:c>
      <x:c r="G47" s="34" t="str">
        <x:v>ASSET</x:v>
      </x:c>
      <x:c r="H47" s="34" t="str">
        <x:v>سنك ستيل</x:v>
      </x:c>
      <x:c r="I47" s="34" t="str">
        <x:v>EQUIPMENT</x:v>
      </x:c>
      <x:c r="J47" s="34" t="str"/>
      <x:c r="K47" s="34" t="str">
        <x:v>DOC000124-01</x:v>
      </x:c>
      <x:c r="L47" s="34" t="str">
        <x:v>Furniture &amp; fixtures</x:v>
      </x:c>
      <x:c r="M47" s="36" t="n">
        <x:v>1</x:v>
      </x:c>
      <x:c r="N47" s="34" t="str">
        <x:v>piece</x:v>
      </x:c>
      <x:c r="O47" s="37" t="n">
        <x:v>130</x:v>
      </x:c>
      <x:c r="P47" s="37" t="n">
        <x:v>130</x:v>
      </x:c>
      <x:c r="Q47" s="37" t="str">
        <x:v>USD</x:v>
      </x:c>
      <x:c r="R47" s="37" t="n">
        <x:v>1500</x:v>
      </x:c>
      <x:c r="S47" s="37" t="n">
        <x:v>195000</x:v>
      </x:c>
      <x:c r="T47" s="37" t="n">
        <x:v>375000</x:v>
      </x:c>
      <x:c r="U47" s="34" t="str">
        <x:v>PAID</x:v>
      </x:c>
      <x:c r="V47" s="34" t="str">
        <x:v>Cash on Hands</x:v>
      </x:c>
      <x:c r="W47" s="34" t="str">
        <x:v>HQ</x:v>
      </x:c>
      <x:c r="X47" s="34" t="str">
        <x:v>Date normalized from the workbook numeric cell to its visible day/month convention. Invoice total controls; source detail sum was 250.</x:v>
      </x:c>
    </x:row>
    <x:row r="48">
      <x:c r="A48" s="33" t="str">
        <x:v>DOC000124</x:v>
      </x:c>
      <x:c r="B48" s="34" t="n">
        <x:v>2</x:v>
      </x:c>
      <x:c r="C48" s="35" t="str">
        <x:v>2026-02-02</x:v>
      </x:c>
      <x:c r="D48" s="34" t="str">
        <x:v>اشتي ستيل</x:v>
      </x:c>
      <x:c r="E48" s="33" t="str">
        <x:v>161</x:v>
      </x:c>
      <x:c r="F48" s="33" t="str">
        <x:v>DOC000124</x:v>
      </x:c>
      <x:c r="G48" s="34" t="str">
        <x:v>ASSET</x:v>
      </x:c>
      <x:c r="H48" s="34" t="str">
        <x:v>ميز ستيل</x:v>
      </x:c>
      <x:c r="I48" s="34" t="str">
        <x:v>EQUIPMENT</x:v>
      </x:c>
      <x:c r="J48" s="34" t="str"/>
      <x:c r="K48" s="34" t="str">
        <x:v>DOC000124-02</x:v>
      </x:c>
      <x:c r="L48" s="34" t="str">
        <x:v>Furniture &amp; fixtures</x:v>
      </x:c>
      <x:c r="M48" s="36" t="n">
        <x:v>1</x:v>
      </x:c>
      <x:c r="N48" s="34" t="str">
        <x:v>piece</x:v>
      </x:c>
      <x:c r="O48" s="37" t="n">
        <x:v>120</x:v>
      </x:c>
      <x:c r="P48" s="37" t="n">
        <x:v>120</x:v>
      </x:c>
      <x:c r="Q48" s="37" t="str">
        <x:v>USD</x:v>
      </x:c>
      <x:c r="R48" s="37" t="n">
        <x:v>1500</x:v>
      </x:c>
      <x:c r="S48" s="37" t="n">
        <x:v>180000</x:v>
      </x:c>
      <x:c r="T48" s="37" t="n">
        <x:v>375000</x:v>
      </x:c>
      <x:c r="U48" s="34" t="str">
        <x:v>PAID</x:v>
      </x:c>
      <x:c r="V48" s="34" t="str">
        <x:v>Cash on Hands</x:v>
      </x:c>
      <x:c r="W48" s="34" t="str">
        <x:v>HQ</x:v>
      </x:c>
      <x:c r="X48" s="34" t="str">
        <x:v>Date normalized from the workbook numeric cell to its visible day/month convention. Invoice total controls; source detail sum was 250.</x:v>
      </x:c>
    </x:row>
    <x:row r="49">
      <x:c r="A49" s="33" t="str">
        <x:v>DOC000125</x:v>
      </x:c>
      <x:c r="B49" s="34" t="n">
        <x:v>1</x:v>
      </x:c>
      <x:c r="C49" s="35" t="str">
        <x:v>2026-04-15</x:v>
      </x:c>
      <x:c r="D49" s="34" t="str">
        <x:v>شيمال كروب</x:v>
      </x:c>
      <x:c r="E49" s="33" t="str">
        <x:v>258</x:v>
      </x:c>
      <x:c r="F49" s="33" t="str">
        <x:v>DOC000125</x:v>
      </x:c>
      <x:c r="G49" s="34" t="str">
        <x:v>SERVICE</x:v>
      </x:c>
      <x:c r="H49" s="34" t="str">
        <x:v>اجور شحن دولي مع اجور نقل داخلي</x:v>
      </x:c>
      <x:c r="I49" s="34" t="str">
        <x:v>SHIPPING</x:v>
      </x:c>
      <x:c r="J49" s="34" t="str"/>
      <x:c r="K49" s="34" t="str"/>
      <x:c r="L49" s="34" t="str"/>
      <x:c r="M49" s="36" t="n">
        <x:v>1</x:v>
      </x:c>
      <x:c r="N49" s="34" t="str">
        <x:v>piece</x:v>
      </x:c>
      <x:c r="O49" s="37" t="n">
        <x:v>508000</x:v>
      </x:c>
      <x:c r="P49" s="37" t="n">
        <x:v>508000</x:v>
      </x:c>
      <x:c r="Q49" s="37" t="str">
        <x:v>IQD</x:v>
      </x:c>
      <x:c r="R49" s="37" t="str"/>
      <x:c r="S49" s="37" t="n">
        <x:v>508000</x:v>
      </x:c>
      <x:c r="T49" s="37" t="n">
        <x:v>508000</x:v>
      </x:c>
      <x:c r="U49" s="34" t="str">
        <x:v>PAID</x:v>
      </x:c>
      <x:c r="V49" s="34" t="str">
        <x:v>Cash on Hands</x:v>
      </x:c>
      <x:c r="W49" s="34" t="str">
        <x:v>HQ</x:v>
      </x:c>
      <x:c r="X49" s="34" t="str">
        <x:v>Merged metadata from source row(s): 50.</x:v>
      </x:c>
    </x:row>
    <x:row r="50">
      <x:c r="A50" s="33" t="str">
        <x:v>DOC000126</x:v>
      </x:c>
      <x:c r="B50" s="34" t="n">
        <x:v>1</x:v>
      </x:c>
      <x:c r="C50" s="35" t="str">
        <x:v>2026-03-15</x:v>
      </x:c>
      <x:c r="D50" s="34" t="str">
        <x:v>بوابة الرافدين للبن الخام</x:v>
      </x:c>
      <x:c r="E50" s="33" t="str">
        <x:v>1572309</x:v>
      </x:c>
      <x:c r="F50" s="33" t="str">
        <x:v>DOC000126</x:v>
      </x:c>
      <x:c r="G50" s="34" t="str">
        <x:v>INVENTORY</x:v>
      </x:c>
      <x:c r="H50" s="34" t="str">
        <x:v>قهوة خام كوجي اثيوبيا</x:v>
      </x:c>
      <x:c r="I50" s="34" t="str">
        <x:v>GREEN_COFFEE</x:v>
      </x:c>
      <x:c r="J50" s="34" t="str">
        <x:v>GREEN_COFFEE</x:v>
      </x:c>
      <x:c r="K50" s="34" t="str"/>
      <x:c r="L50" s="34" t="str"/>
      <x:c r="M50" s="36" t="n">
        <x:v>30</x:v>
      </x:c>
      <x:c r="N50" s="34" t="str">
        <x:v>kg</x:v>
      </x:c>
      <x:c r="O50" s="37" t="n">
        <x:v>11500</x:v>
      </x:c>
      <x:c r="P50" s="37" t="n">
        <x:v>345000</x:v>
      </x:c>
      <x:c r="Q50" s="37" t="str">
        <x:v>IQD</x:v>
      </x:c>
      <x:c r="R50" s="37" t="str"/>
      <x:c r="S50" s="37" t="n">
        <x:v>345000</x:v>
      </x:c>
      <x:c r="T50" s="37" t="n">
        <x:v>345000</x:v>
      </x:c>
      <x:c r="U50" s="34" t="str">
        <x:v>PAID</x:v>
      </x:c>
      <x:c r="V50" s="34" t="str">
        <x:v>Cash on Hands</x:v>
      </x:c>
      <x:c r="W50" s="34" t="str">
        <x:v>HQ</x:v>
      </x:c>
      <x:c r="X50" s="34" t="str"/>
    </x:row>
    <x:row r="51">
      <x:c r="A51" s="33" t="str">
        <x:v>DOC000127</x:v>
      </x:c>
      <x:c r="B51" s="34" t="n">
        <x:v>1</x:v>
      </x:c>
      <x:c r="C51" s="35" t="str">
        <x:v>2025-12-01</x:v>
      </x:c>
      <x:c r="D51" s="34" t="str">
        <x:v>فنجال</x:v>
      </x:c>
      <x:c r="E51" s="33" t="str">
        <x:v>DOC000127</x:v>
      </x:c>
      <x:c r="F51" s="33" t="str">
        <x:v>DOC000127</x:v>
      </x:c>
      <x:c r="G51" s="34" t="str">
        <x:v>ASSET</x:v>
      </x:c>
      <x:c r="H51" s="34" t="str">
        <x:v>طاحونة قهوة يدوية</x:v>
      </x:c>
      <x:c r="I51" s="34" t="str">
        <x:v>EQUIPMENT</x:v>
      </x:c>
      <x:c r="J51" s="34" t="str"/>
      <x:c r="K51" s="34" t="str">
        <x:v>DOC000127-01</x:v>
      </x:c>
      <x:c r="L51" s="34" t="str">
        <x:v>Coffee equipment</x:v>
      </x:c>
      <x:c r="M51" s="36" t="n">
        <x:v>1</x:v>
      </x:c>
      <x:c r="N51" s="34" t="str">
        <x:v>piece</x:v>
      </x:c>
      <x:c r="O51" s="37" t="n">
        <x:v>125000</x:v>
      </x:c>
      <x:c r="P51" s="37" t="n">
        <x:v>125000</x:v>
      </x:c>
      <x:c r="Q51" s="37" t="str">
        <x:v>IQD</x:v>
      </x:c>
      <x:c r="R51" s="37" t="str"/>
      <x:c r="S51" s="37" t="n">
        <x:v>125000</x:v>
      </x:c>
      <x:c r="T51" s="37" t="n">
        <x:v>125000</x:v>
      </x:c>
      <x:c r="U51" s="34" t="str">
        <x:v>PAID</x:v>
      </x:c>
      <x:c r="V51" s="34" t="str">
        <x:v>Cash on Hands</x:v>
      </x:c>
      <x:c r="W51" s="34" t="str">
        <x:v>HQ</x:v>
      </x:c>
      <x:c r="X51" s="34" t="str">
        <x:v>Date normalized from the workbook numeric cell to its visible day/month convention.</x:v>
      </x:c>
    </x:row>
    <x:row r="52">
      <x:c r="A52" s="33" t="str">
        <x:v>DOC000128</x:v>
      </x:c>
      <x:c r="B52" s="34" t="n">
        <x:v>1</x:v>
      </x:c>
      <x:c r="C52" s="35" t="str">
        <x:v>2025-12-17</x:v>
      </x:c>
      <x:c r="D52" s="34" t="str">
        <x:v>عقارات نعمان عولا حاجى</x:v>
      </x:c>
      <x:c r="E52" s="33" t="str">
        <x:v>DOC000128</x:v>
      </x:c>
      <x:c r="F52" s="33" t="str">
        <x:v>DOC000128</x:v>
      </x:c>
      <x:c r="G52" s="34" t="str">
        <x:v>SERVICE</x:v>
      </x:c>
      <x:c r="H52" s="34" t="str">
        <x:v>تاجير محل مع تامينات مع عمولة دلال</x:v>
      </x:c>
      <x:c r="I52" s="34" t="str">
        <x:v>RENT</x:v>
      </x:c>
      <x:c r="J52" s="34" t="str"/>
      <x:c r="K52" s="34" t="str"/>
      <x:c r="L52" s="34" t="str"/>
      <x:c r="M52" s="36" t="n">
        <x:v>1</x:v>
      </x:c>
      <x:c r="N52" s="34" t="str">
        <x:v>piece</x:v>
      </x:c>
      <x:c r="O52" s="37" t="n">
        <x:v>400000</x:v>
      </x:c>
      <x:c r="P52" s="37" t="n">
        <x:v>400000</x:v>
      </x:c>
      <x:c r="Q52" s="37" t="str">
        <x:v>IQD</x:v>
      </x:c>
      <x:c r="R52" s="37" t="str"/>
      <x:c r="S52" s="37" t="n">
        <x:v>400000</x:v>
      </x:c>
      <x:c r="T52" s="37" t="n">
        <x:v>400000</x:v>
      </x:c>
      <x:c r="U52" s="34" t="str">
        <x:v>PAID</x:v>
      </x:c>
      <x:c r="V52" s="34" t="str">
        <x:v>Cash on Hands</x:v>
      </x:c>
      <x:c r="W52" s="34" t="str">
        <x:v>HQ</x:v>
      </x:c>
      <x:c r="X52" s="34" t="str"/>
    </x:row>
    <x:row r="53">
      <x:c r="A53" s="33" t="str">
        <x:v>DOC000129</x:v>
      </x:c>
      <x:c r="B53" s="34" t="n">
        <x:v>1</x:v>
      </x:c>
      <x:c r="C53" s="35" t="str">
        <x:v>2026-01-19</x:v>
      </x:c>
      <x:c r="D53" s="34" t="str">
        <x:v>المختصر</x:v>
      </x:c>
      <x:c r="E53" s="33" t="str">
        <x:v>100113770</x:v>
      </x:c>
      <x:c r="F53" s="33" t="str">
        <x:v>DOC000129</x:v>
      </x:c>
      <x:c r="G53" s="34" t="str">
        <x:v>EXPENSE</x:v>
      </x:c>
      <x:c r="H53" s="34" t="str">
        <x:v>جهاز كبس تفريغ هواء</x:v>
      </x:c>
      <x:c r="I53" s="34" t="str">
        <x:v>EQUIPMENT</x:v>
      </x:c>
      <x:c r="J53" s="34" t="str"/>
      <x:c r="K53" s="34" t="str"/>
      <x:c r="L53" s="34" t="str"/>
      <x:c r="M53" s="36" t="n">
        <x:v>1</x:v>
      </x:c>
      <x:c r="N53" s="34" t="str">
        <x:v>piece</x:v>
      </x:c>
      <x:c r="O53" s="37" t="n">
        <x:v>28000</x:v>
      </x:c>
      <x:c r="P53" s="37" t="n">
        <x:v>28000</x:v>
      </x:c>
      <x:c r="Q53" s="37" t="str">
        <x:v>IQD</x:v>
      </x:c>
      <x:c r="R53" s="37" t="str"/>
      <x:c r="S53" s="37" t="n">
        <x:v>28000</x:v>
      </x:c>
      <x:c r="T53" s="37" t="n">
        <x:v>28000</x:v>
      </x:c>
      <x:c r="U53" s="34" t="str">
        <x:v>PAID</x:v>
      </x:c>
      <x:c r="V53" s="34" t="str">
        <x:v>Cash on Hands</x:v>
      </x:c>
      <x:c r="W53" s="34" t="str">
        <x:v>HQ</x:v>
      </x:c>
      <x:c r="X53" s="34" t="str"/>
    </x:row>
    <x:row r="54">
      <x:c r="A54" s="33" t="str">
        <x:v>DOC000130</x:v>
      </x:c>
      <x:c r="B54" s="34" t="n">
        <x:v>1</x:v>
      </x:c>
      <x:c r="C54" s="35" t="str">
        <x:v>2026-02-19</x:v>
      </x:c>
      <x:c r="D54" s="34" t="str">
        <x:v>مكائن سيف</x:v>
      </x:c>
      <x:c r="E54" s="33" t="str">
        <x:v>205</x:v>
      </x:c>
      <x:c r="F54" s="33" t="str">
        <x:v>DOC000130</x:v>
      </x:c>
      <x:c r="G54" s="34" t="str">
        <x:v>ASSET</x:v>
      </x:c>
      <x:c r="H54" s="34" t="str">
        <x:v>جهاز تعبئة حبوب 100 غم</x:v>
      </x:c>
      <x:c r="I54" s="34" t="str">
        <x:v>EQUIPMENT</x:v>
      </x:c>
      <x:c r="J54" s="34" t="str"/>
      <x:c r="K54" s="34" t="str">
        <x:v>DOC000130-01</x:v>
      </x:c>
      <x:c r="L54" s="34" t="str">
        <x:v>Packaging equipment</x:v>
      </x:c>
      <x:c r="M54" s="36" t="n">
        <x:v>1</x:v>
      </x:c>
      <x:c r="N54" s="34" t="str">
        <x:v>piece</x:v>
      </x:c>
      <x:c r="O54" s="37" t="n">
        <x:v>250000</x:v>
      </x:c>
      <x:c r="P54" s="37" t="n">
        <x:v>250000</x:v>
      </x:c>
      <x:c r="Q54" s="37" t="str">
        <x:v>IQD</x:v>
      </x:c>
      <x:c r="R54" s="37" t="str"/>
      <x:c r="S54" s="37" t="n">
        <x:v>250000</x:v>
      </x:c>
      <x:c r="T54" s="37" t="n">
        <x:v>425000</x:v>
      </x:c>
      <x:c r="U54" s="34" t="str">
        <x:v>PAID</x:v>
      </x:c>
      <x:c r="V54" s="34" t="str">
        <x:v>Cash on Hands</x:v>
      </x:c>
      <x:c r="W54" s="34" t="str">
        <x:v>HQ</x:v>
      </x:c>
      <x:c r="X54" s="34" t="str"/>
    </x:row>
    <x:row r="55">
      <x:c r="A55" s="33" t="str">
        <x:v>DOC000130</x:v>
      </x:c>
      <x:c r="B55" s="34" t="n">
        <x:v>2</x:v>
      </x:c>
      <x:c r="C55" s="35" t="str">
        <x:v>2026-02-19</x:v>
      </x:c>
      <x:c r="D55" s="34" t="str">
        <x:v>مكائن سيف</x:v>
      </x:c>
      <x:c r="E55" s="33" t="str">
        <x:v>205</x:v>
      </x:c>
      <x:c r="F55" s="33" t="str">
        <x:v>DOC000130</x:v>
      </x:c>
      <x:c r="G55" s="34" t="str">
        <x:v>EXPENSE</x:v>
      </x:c>
      <x:c r="H55" s="34" t="str">
        <x:v>جهاز لحام اكياس 20سم</x:v>
      </x:c>
      <x:c r="I55" s="34" t="str">
        <x:v>EQUIPMENT</x:v>
      </x:c>
      <x:c r="J55" s="34" t="str"/>
      <x:c r="K55" s="34" t="str"/>
      <x:c r="L55" s="34" t="str"/>
      <x:c r="M55" s="36" t="n">
        <x:v>1</x:v>
      </x:c>
      <x:c r="N55" s="34" t="str">
        <x:v>piece</x:v>
      </x:c>
      <x:c r="O55" s="37" t="n">
        <x:v>25000</x:v>
      </x:c>
      <x:c r="P55" s="37" t="n">
        <x:v>25000</x:v>
      </x:c>
      <x:c r="Q55" s="37" t="str">
        <x:v>IQD</x:v>
      </x:c>
      <x:c r="R55" s="37" t="str"/>
      <x:c r="S55" s="37" t="n">
        <x:v>25000</x:v>
      </x:c>
      <x:c r="T55" s="37" t="n">
        <x:v>425000</x:v>
      </x:c>
      <x:c r="U55" s="34" t="str">
        <x:v>PAID</x:v>
      </x:c>
      <x:c r="V55" s="34" t="str">
        <x:v>Cash on Hands</x:v>
      </x:c>
      <x:c r="W55" s="34" t="str">
        <x:v>HQ</x:v>
      </x:c>
      <x:c r="X55" s="34" t="str"/>
    </x:row>
    <x:row r="56">
      <x:c r="A56" s="33" t="str">
        <x:v>DOC000130</x:v>
      </x:c>
      <x:c r="B56" s="34" t="n">
        <x:v>3</x:v>
      </x:c>
      <x:c r="C56" s="35" t="str">
        <x:v>2026-02-19</x:v>
      </x:c>
      <x:c r="D56" s="34" t="str">
        <x:v>مكائن سيف</x:v>
      </x:c>
      <x:c r="E56" s="33" t="str">
        <x:v>205</x:v>
      </x:c>
      <x:c r="F56" s="33" t="str">
        <x:v>DOC000130</x:v>
      </x:c>
      <x:c r="G56" s="34" t="str">
        <x:v>ASSET</x:v>
      </x:c>
      <x:c r="H56" s="34" t="str">
        <x:v>ليبل يدوي</x:v>
      </x:c>
      <x:c r="I56" s="34" t="str">
        <x:v>EQUIPMENT</x:v>
      </x:c>
      <x:c r="J56" s="34" t="str"/>
      <x:c r="K56" s="34" t="str">
        <x:v>DOC000130-03</x:v>
      </x:c>
      <x:c r="L56" s="34" t="str">
        <x:v>Packaging equipment</x:v>
      </x:c>
      <x:c r="M56" s="36" t="n">
        <x:v>1</x:v>
      </x:c>
      <x:c r="N56" s="34" t="str">
        <x:v>piece</x:v>
      </x:c>
      <x:c r="O56" s="37" t="n">
        <x:v>150000</x:v>
      </x:c>
      <x:c r="P56" s="37" t="n">
        <x:v>150000</x:v>
      </x:c>
      <x:c r="Q56" s="37" t="str">
        <x:v>IQD</x:v>
      </x:c>
      <x:c r="R56" s="37" t="str"/>
      <x:c r="S56" s="37" t="n">
        <x:v>150000</x:v>
      </x:c>
      <x:c r="T56" s="37" t="n">
        <x:v>425000</x:v>
      </x:c>
      <x:c r="U56" s="34" t="str">
        <x:v>PAID</x:v>
      </x:c>
      <x:c r="V56" s="34" t="str">
        <x:v>Cash on Hands</x:v>
      </x:c>
      <x:c r="W56" s="34" t="str">
        <x:v>HQ</x:v>
      </x:c>
      <x:c r="X56" s="34" t="str"/>
    </x:row>
    <x:row r="57">
      <x:c r="A57" s="33" t="str">
        <x:v>DOC000131</x:v>
      </x:c>
      <x:c r="B57" s="34" t="n">
        <x:v>1</x:v>
      </x:c>
      <x:c r="C57" s="35" t="str">
        <x:v>2025-12-04</x:v>
      </x:c>
      <x:c r="D57" s="34" t="str">
        <x:v>اوردري</x:v>
      </x:c>
      <x:c r="E57" s="33" t="str">
        <x:v>17C025-251204131954</x:v>
      </x:c>
      <x:c r="F57" s="33" t="str">
        <x:v>DOC000131</x:v>
      </x:c>
      <x:c r="G57" s="34" t="str">
        <x:v>INVENTORY</x:v>
      </x:c>
      <x:c r="H57" s="34" t="str">
        <x:v>ملاعق تذوق</x:v>
      </x:c>
      <x:c r="I57" s="34" t="str">
        <x:v>OVERHEAD</x:v>
      </x:c>
      <x:c r="J57" s="34" t="str">
        <x:v>PRODUCTION_SUPPLY</x:v>
      </x:c>
      <x:c r="K57" s="34" t="str"/>
      <x:c r="L57" s="34" t="str"/>
      <x:c r="M57" s="36" t="n">
        <x:v>30</x:v>
      </x:c>
      <x:c r="N57" s="34" t="str">
        <x:v>piece</x:v>
      </x:c>
      <x:c r="O57" s="37" t="n">
        <x:v>0.901</x:v>
      </x:c>
      <x:c r="P57" s="37" t="n">
        <x:v>27.03</x:v>
      </x:c>
      <x:c r="Q57" s="37" t="str">
        <x:v>USD</x:v>
      </x:c>
      <x:c r="R57" s="37" t="n">
        <x:v>1498.372</x:v>
      </x:c>
      <x:c r="S57" s="37" t="n">
        <x:v>40501</x:v>
      </x:c>
      <x:c r="T57" s="37" t="n">
        <x:v>1100000</x:v>
      </x:c>
      <x:c r="U57" s="34" t="str">
        <x:v>PAID</x:v>
      </x:c>
      <x:c r="V57" s="34" t="str">
        <x:v>Cash on Hands</x:v>
      </x:c>
      <x:c r="W57" s="34" t="str">
        <x:v>HQ</x:v>
      </x:c>
      <x:c r="X57" s="34" t="str">
        <x:v>Date normalized from the workbook numeric cell to its visible day/month convention. Invoice total controls; source detail sum was 734.13. Included fees allocated into item costs: عمولة اوردري.</x:v>
      </x:c>
    </x:row>
    <x:row r="58">
      <x:c r="A58" s="33" t="str">
        <x:v>DOC000131</x:v>
      </x:c>
      <x:c r="B58" s="34" t="n">
        <x:v>2</x:v>
      </x:c>
      <x:c r="C58" s="35" t="str">
        <x:v>2025-12-04</x:v>
      </x:c>
      <x:c r="D58" s="34" t="str">
        <x:v>اوردري</x:v>
      </x:c>
      <x:c r="E58" s="33" t="str">
        <x:v>17C025-251204131954</x:v>
      </x:c>
      <x:c r="F58" s="33" t="str">
        <x:v>DOC000131</x:v>
      </x:c>
      <x:c r="G58" s="34" t="str">
        <x:v>ASSET</x:v>
      </x:c>
      <x:c r="H58" s="34" t="str">
        <x:v>جهاز كبس حراري</x:v>
      </x:c>
      <x:c r="I58" s="34" t="str">
        <x:v>EQUIPMENT</x:v>
      </x:c>
      <x:c r="J58" s="34" t="str"/>
      <x:c r="K58" s="34" t="str">
        <x:v>DOC000131-02</x:v>
      </x:c>
      <x:c r="L58" s="34" t="str">
        <x:v>Packaging equipment</x:v>
      </x:c>
      <x:c r="M58" s="36" t="n">
        <x:v>1</x:v>
      </x:c>
      <x:c r="N58" s="34" t="str">
        <x:v>piece</x:v>
      </x:c>
      <x:c r="O58" s="37" t="n">
        <x:v>636.823</x:v>
      </x:c>
      <x:c r="P58" s="37" t="n">
        <x:v>636.823</x:v>
      </x:c>
      <x:c r="Q58" s="37" t="str">
        <x:v>USD</x:v>
      </x:c>
      <x:c r="R58" s="37" t="n">
        <x:v>1498.372</x:v>
      </x:c>
      <x:c r="S58" s="37" t="n">
        <x:v>954197</x:v>
      </x:c>
      <x:c r="T58" s="37" t="n">
        <x:v>1100000</x:v>
      </x:c>
      <x:c r="U58" s="34" t="str">
        <x:v>PAID</x:v>
      </x:c>
      <x:c r="V58" s="34" t="str">
        <x:v>Cash on Hands</x:v>
      </x:c>
      <x:c r="W58" s="34" t="str">
        <x:v>HQ</x:v>
      </x:c>
      <x:c r="X58" s="34" t="str">
        <x:v>Date normalized from the workbook numeric cell to its visible day/month convention. Invoice total controls; source detail sum was 734.13. Included fees allocated into item costs: عمولة اوردري.</x:v>
      </x:c>
    </x:row>
    <x:row r="59">
      <x:c r="A59" s="33" t="str">
        <x:v>DOC000131</x:v>
      </x:c>
      <x:c r="B59" s="34" t="n">
        <x:v>3</x:v>
      </x:c>
      <x:c r="C59" s="35" t="str">
        <x:v>2025-12-04</x:v>
      </x:c>
      <x:c r="D59" s="34" t="str">
        <x:v>اوردري</x:v>
      </x:c>
      <x:c r="E59" s="33" t="str">
        <x:v>17C025-251204131954</x:v>
      </x:c>
      <x:c r="F59" s="33" t="str">
        <x:v>DOC000131</x:v>
      </x:c>
      <x:c r="G59" s="34" t="str">
        <x:v>INVENTORY</x:v>
      </x:c>
      <x:c r="H59" s="34" t="str">
        <x:v>كاسة تذوق بلاستك</x:v>
      </x:c>
      <x:c r="I59" s="34" t="str">
        <x:v>OVERHEAD</x:v>
      </x:c>
      <x:c r="J59" s="34" t="str">
        <x:v>PRODUCTION_SUPPLY</x:v>
      </x:c>
      <x:c r="K59" s="34" t="str"/>
      <x:c r="L59" s="34" t="str"/>
      <x:c r="M59" s="36" t="n">
        <x:v>30</x:v>
      </x:c>
      <x:c r="N59" s="34" t="str">
        <x:v>piece</x:v>
      </x:c>
      <x:c r="O59" s="37" t="n">
        <x:v>2.343</x:v>
      </x:c>
      <x:c r="P59" s="37" t="n">
        <x:v>70.278</x:v>
      </x:c>
      <x:c r="Q59" s="37" t="str">
        <x:v>USD</x:v>
      </x:c>
      <x:c r="R59" s="37" t="n">
        <x:v>1498.372</x:v>
      </x:c>
      <x:c r="S59" s="37" t="n">
        <x:v>105302</x:v>
      </x:c>
      <x:c r="T59" s="37" t="n">
        <x:v>1100000</x:v>
      </x:c>
      <x:c r="U59" s="34" t="str">
        <x:v>PAID</x:v>
      </x:c>
      <x:c r="V59" s="34" t="str">
        <x:v>Cash on Hands</x:v>
      </x:c>
      <x:c r="W59" s="34" t="str">
        <x:v>HQ</x:v>
      </x:c>
      <x:c r="X59" s="34" t="str">
        <x:v>Date normalized from the workbook numeric cell to its visible day/month convention. Invoice total controls; source detail sum was 734.13. Included fees allocated into item costs: عمولة اوردري.</x:v>
      </x:c>
    </x:row>
    <x:row r="60">
      <x:c r="A60" s="33" t="str">
        <x:v>DOC000132</x:v>
      </x:c>
      <x:c r="B60" s="34" t="n">
        <x:v>1</x:v>
      </x:c>
      <x:c r="C60" s="35" t="str">
        <x:v>2025-11-07</x:v>
      </x:c>
      <x:c r="D60" s="34" t="str">
        <x:v>اوردري</x:v>
      </x:c>
      <x:c r="E60" s="33" t="str">
        <x:v>17C025-251107091916</x:v>
      </x:c>
      <x:c r="F60" s="33" t="str">
        <x:v>DOC000132</x:v>
      </x:c>
      <x:c r="G60" s="34" t="str">
        <x:v>ASSET</x:v>
      </x:c>
      <x:c r="H60" s="34" t="str">
        <x:v>محمصة جيني كافيه</x:v>
      </x:c>
      <x:c r="I60" s="34" t="str">
        <x:v>EQUIPMENT</x:v>
      </x:c>
      <x:c r="J60" s="34" t="str"/>
      <x:c r="K60" s="34" t="str">
        <x:v>DOC000132-01</x:v>
      </x:c>
      <x:c r="L60" s="34" t="str">
        <x:v>Production equipment</x:v>
      </x:c>
      <x:c r="M60" s="36" t="n">
        <x:v>1</x:v>
      </x:c>
      <x:c r="N60" s="34" t="str">
        <x:v>piece</x:v>
      </x:c>
      <x:c r="O60" s="37" t="n">
        <x:v>625</x:v>
      </x:c>
      <x:c r="P60" s="37" t="n">
        <x:v>625</x:v>
      </x:c>
      <x:c r="Q60" s="37" t="str">
        <x:v>USD</x:v>
      </x:c>
      <x:c r="R60" s="37" t="n">
        <x:v>1424</x:v>
      </x:c>
      <x:c r="S60" s="37" t="n">
        <x:v>890000</x:v>
      </x:c>
      <x:c r="T60" s="37" t="n">
        <x:v>890000</x:v>
      </x:c>
      <x:c r="U60" s="34" t="str">
        <x:v>PAID</x:v>
      </x:c>
      <x:c r="V60" s="34" t="str">
        <x:v>Cash on Hands</x:v>
      </x:c>
      <x:c r="W60" s="34" t="str">
        <x:v>HQ</x:v>
      </x:c>
      <x:c r="X60" s="34" t="str">
        <x:v>Date normalized from the workbook numeric cell to its visible day/month convention. Invoice total controls; source detail sum was 625.</x:v>
      </x:c>
    </x:row>
    <x:row r="61">
      <x:c r="A61" s="33" t="str">
        <x:v>DOC000133</x:v>
      </x:c>
      <x:c r="B61" s="34" t="n">
        <x:v>1</x:v>
      </x:c>
      <x:c r="C61" s="35" t="str">
        <x:v>2025-11-07</x:v>
      </x:c>
      <x:c r="D61" s="34" t="str">
        <x:v>اوردري</x:v>
      </x:c>
      <x:c r="E61" s="33" t="str">
        <x:v>17C025-251107091618</x:v>
      </x:c>
      <x:c r="F61" s="33" t="str">
        <x:v>DOC000133</x:v>
      </x:c>
      <x:c r="G61" s="34" t="str">
        <x:v>ASSET</x:v>
      </x:c>
      <x:c r="H61" s="34" t="str">
        <x:v>طاحونة قهوة 98 ملم</x:v>
      </x:c>
      <x:c r="I61" s="34" t="str">
        <x:v>EQUIPMENT</x:v>
      </x:c>
      <x:c r="J61" s="34" t="str"/>
      <x:c r="K61" s="34" t="str">
        <x:v>DOC000133-01</x:v>
      </x:c>
      <x:c r="L61" s="34" t="str">
        <x:v>Coffee equipment</x:v>
      </x:c>
      <x:c r="M61" s="36" t="n">
        <x:v>1</x:v>
      </x:c>
      <x:c r="N61" s="34" t="str">
        <x:v>piece</x:v>
      </x:c>
      <x:c r="O61" s="37" t="n">
        <x:v>990</x:v>
      </x:c>
      <x:c r="P61" s="37" t="n">
        <x:v>990</x:v>
      </x:c>
      <x:c r="Q61" s="37" t="str">
        <x:v>USD</x:v>
      </x:c>
      <x:c r="R61" s="37" t="n">
        <x:v>1424.242</x:v>
      </x:c>
      <x:c r="S61" s="37" t="n">
        <x:v>1410000</x:v>
      </x:c>
      <x:c r="T61" s="37" t="n">
        <x:v>1410000</x:v>
      </x:c>
      <x:c r="U61" s="34" t="str">
        <x:v>PAID</x:v>
      </x:c>
      <x:c r="V61" s="34" t="str">
        <x:v>Cash on Hands</x:v>
      </x:c>
      <x:c r="W61" s="34" t="str">
        <x:v>HQ</x:v>
      </x:c>
      <x:c r="X61" s="34" t="str">
        <x:v>Date normalized from the workbook numeric cell to its visible day/month convention. Invoice total controls; source detail sum was 990.</x:v>
      </x:c>
    </x:row>
    <x:row r="62">
      <x:c r="A62" s="33" t="str">
        <x:v>DOC000134</x:v>
      </x:c>
      <x:c r="B62" s="34" t="n">
        <x:v>1</x:v>
      </x:c>
      <x:c r="C62" s="35" t="str">
        <x:v>2025-12-24</x:v>
      </x:c>
      <x:c r="D62" s="34" t="str">
        <x:v>علي بابا</x:v>
      </x:c>
      <x:c r="E62" s="33" t="str">
        <x:v>'286748846501025867</x:v>
      </x:c>
      <x:c r="F62" s="33" t="str">
        <x:v>DOC000134</x:v>
      </x:c>
      <x:c r="G62" s="34" t="str">
        <x:v>INVENTORY</x:v>
      </x:c>
      <x:c r="H62" s="34" t="str">
        <x:v>اكياس قهوة مختصة</x:v>
      </x:c>
      <x:c r="I62" s="34" t="str">
        <x:v>PACKAGING</x:v>
      </x:c>
      <x:c r="J62" s="34" t="str">
        <x:v>PACKAGING</x:v>
      </x:c>
      <x:c r="K62" s="34" t="str"/>
      <x:c r="L62" s="34" t="str"/>
      <x:c r="M62" s="36" t="n">
        <x:v>1500</x:v>
      </x:c>
      <x:c r="N62" s="34" t="str">
        <x:v>piece</x:v>
      </x:c>
      <x:c r="O62" s="37" t="n">
        <x:v>0.34</x:v>
      </x:c>
      <x:c r="P62" s="37" t="n">
        <x:v>510</x:v>
      </x:c>
      <x:c r="Q62" s="37" t="str">
        <x:v>USD</x:v>
      </x:c>
      <x:c r="R62" s="37" t="n">
        <x:v>1355.882</x:v>
      </x:c>
      <x:c r="S62" s="37" t="n">
        <x:v>691500</x:v>
      </x:c>
      <x:c r="T62" s="37" t="n">
        <x:v>691500</x:v>
      </x:c>
      <x:c r="U62" s="34" t="str">
        <x:v>PAID</x:v>
      </x:c>
      <x:c r="V62" s="34" t="str">
        <x:v>Cash on Hands</x:v>
      </x:c>
      <x:c r="W62" s="34" t="str">
        <x:v>HQ</x:v>
      </x:c>
      <x:c r="X62" s="34" t="str">
        <x:v>Invoice total controls; source detail sum was 510.</x:v>
      </x:c>
    </x:row>
    <x:row r="63">
      <x:c r="A63" s="33" t="str">
        <x:v>DOC000135</x:v>
      </x:c>
      <x:c r="B63" s="34" t="n">
        <x:v>1</x:v>
      </x:c>
      <x:c r="C63" s="35" t="str">
        <x:v>2026-02-17</x:v>
      </x:c>
      <x:c r="D63" s="34" t="str">
        <x:v>علي بابا</x:v>
      </x:c>
      <x:c r="E63" s="33" t="str">
        <x:v>'294938623001025867</x:v>
      </x:c>
      <x:c r="F63" s="33" t="str">
        <x:v>DOC000135</x:v>
      </x:c>
      <x:c r="G63" s="34" t="str">
        <x:v>INVENTORY</x:v>
      </x:c>
      <x:c r="H63" s="34" t="str">
        <x:v>اكياس تقطير</x:v>
      </x:c>
      <x:c r="I63" s="34" t="str">
        <x:v>PACKAGING</x:v>
      </x:c>
      <x:c r="J63" s="34" t="str">
        <x:v>DRIP_BAGS</x:v>
      </x:c>
      <x:c r="K63" s="34" t="str"/>
      <x:c r="L63" s="34" t="str"/>
      <x:c r="M63" s="36" t="n">
        <x:v>5000</x:v>
      </x:c>
      <x:c r="N63" s="34" t="str">
        <x:v>piece</x:v>
      </x:c>
      <x:c r="O63" s="37" t="n">
        <x:v>0.015</x:v>
      </x:c>
      <x:c r="P63" s="37" t="n">
        <x:v>72.785</x:v>
      </x:c>
      <x:c r="Q63" s="37" t="str">
        <x:v>USD</x:v>
      </x:c>
      <x:c r="R63" s="37" t="n">
        <x:v>1546.019</x:v>
      </x:c>
      <x:c r="S63" s="37" t="n">
        <x:v>112527</x:v>
      </x:c>
      <x:c r="T63" s="37" t="n">
        <x:v>1495000</x:v>
      </x:c>
      <x:c r="U63" s="34" t="str">
        <x:v>PAID</x:v>
      </x:c>
      <x:c r="V63" s="34" t="str">
        <x:v>Cash on Hands</x:v>
      </x:c>
      <x:c r="W63" s="34" t="str">
        <x:v>HQ</x:v>
      </x:c>
      <x:c r="X63" s="34" t="str">
        <x:v>Invoice total controls; source detail sum was 967. Included fees allocated into item costs: عمولة علي بابا مع نقل داخل الصين.</x:v>
      </x:c>
    </x:row>
    <x:row r="64">
      <x:c r="A64" s="33" t="str">
        <x:v>DOC000135</x:v>
      </x:c>
      <x:c r="B64" s="34" t="n">
        <x:v>2</x:v>
      </x:c>
      <x:c r="C64" s="35" t="str">
        <x:v>2026-02-17</x:v>
      </x:c>
      <x:c r="D64" s="34" t="str">
        <x:v>علي بابا</x:v>
      </x:c>
      <x:c r="E64" s="33" t="str">
        <x:v>'294938623001025867</x:v>
      </x:c>
      <x:c r="F64" s="33" t="str">
        <x:v>DOC000135</x:v>
      </x:c>
      <x:c r="G64" s="34" t="str">
        <x:v>INVENTORY</x:v>
      </x:c>
      <x:c r="H64" s="34" t="str">
        <x:v>اكياس تغليف اكياس التقطير</x:v>
      </x:c>
      <x:c r="I64" s="34" t="str">
        <x:v>PACKAGING</x:v>
      </x:c>
      <x:c r="J64" s="34" t="str">
        <x:v>PACKAGING</x:v>
      </x:c>
      <x:c r="K64" s="34" t="str"/>
      <x:c r="L64" s="34" t="str"/>
      <x:c r="M64" s="36" t="n">
        <x:v>5000</x:v>
      </x:c>
      <x:c r="N64" s="34" t="str">
        <x:v>piece</x:v>
      </x:c>
      <x:c r="O64" s="37" t="n">
        <x:v>0.104</x:v>
      </x:c>
      <x:c r="P64" s="37" t="n">
        <x:v>519.892</x:v>
      </x:c>
      <x:c r="Q64" s="37" t="str">
        <x:v>USD</x:v>
      </x:c>
      <x:c r="R64" s="37" t="n">
        <x:v>1546.019</x:v>
      </x:c>
      <x:c r="S64" s="37" t="n">
        <x:v>803763</x:v>
      </x:c>
      <x:c r="T64" s="37" t="n">
        <x:v>1495000</x:v>
      </x:c>
      <x:c r="U64" s="34" t="str">
        <x:v>PAID</x:v>
      </x:c>
      <x:c r="V64" s="34" t="str">
        <x:v>Cash on Hands</x:v>
      </x:c>
      <x:c r="W64" s="34" t="str">
        <x:v>HQ</x:v>
      </x:c>
      <x:c r="X64" s="34" t="str">
        <x:v>Invoice total controls; source detail sum was 967. Included fees allocated into item costs: عمولة علي بابا مع نقل داخل الصين.</x:v>
      </x:c>
    </x:row>
    <x:row r="65">
      <x:c r="A65" s="33" t="str">
        <x:v>DOC000135</x:v>
      </x:c>
      <x:c r="B65" s="34" t="n">
        <x:v>3</x:v>
      </x:c>
      <x:c r="C65" s="35" t="str">
        <x:v>2026-02-17</x:v>
      </x:c>
      <x:c r="D65" s="34" t="str">
        <x:v>علي بابا</x:v>
      </x:c>
      <x:c r="E65" s="33" t="str">
        <x:v>'294938623001025867</x:v>
      </x:c>
      <x:c r="F65" s="33" t="str">
        <x:v>DOC000135</x:v>
      </x:c>
      <x:c r="G65" s="34" t="str">
        <x:v>INVENTORY</x:v>
      </x:c>
      <x:c r="H65" s="34" t="str">
        <x:v>اكياس قهوة تجارية</x:v>
      </x:c>
      <x:c r="I65" s="34" t="str">
        <x:v>PACKAGING</x:v>
      </x:c>
      <x:c r="J65" s="34" t="str">
        <x:v>PACKAGING</x:v>
      </x:c>
      <x:c r="K65" s="34" t="str"/>
      <x:c r="L65" s="34" t="str"/>
      <x:c r="M65" s="36" t="n">
        <x:v>2400</x:v>
      </x:c>
      <x:c r="N65" s="34" t="str">
        <x:v>piece</x:v>
      </x:c>
      <x:c r="O65" s="37" t="n">
        <x:v>0.156</x:v>
      </x:c>
      <x:c r="P65" s="37" t="n">
        <x:v>374.323</x:v>
      </x:c>
      <x:c r="Q65" s="37" t="str">
        <x:v>USD</x:v>
      </x:c>
      <x:c r="R65" s="37" t="n">
        <x:v>1546.019</x:v>
      </x:c>
      <x:c r="S65" s="37" t="n">
        <x:v>578710</x:v>
      </x:c>
      <x:c r="T65" s="37" t="n">
        <x:v>1495000</x:v>
      </x:c>
      <x:c r="U65" s="34" t="str">
        <x:v>PAID</x:v>
      </x:c>
      <x:c r="V65" s="34" t="str">
        <x:v>Cash on Hands</x:v>
      </x:c>
      <x:c r="W65" s="34" t="str">
        <x:v>HQ</x:v>
      </x:c>
      <x:c r="X65" s="34" t="str">
        <x:v>Invoice total controls; source detail sum was 967. Included fees allocated into item costs: عمولة علي بابا مع نقل داخل الصين.</x:v>
      </x:c>
    </x:row>
    <x:row r="66">
      <x:c r="A66" s="33" t="str">
        <x:v>DOC000136</x:v>
      </x:c>
      <x:c r="B66" s="34" t="n">
        <x:v>1</x:v>
      </x:c>
      <x:c r="C66" s="35" t="str">
        <x:v>2026-02-01</x:v>
      </x:c>
      <x:c r="D66" s="34" t="str">
        <x:v>جهى برا</x:v>
      </x:c>
      <x:c r="E66" s="33" t="str">
        <x:v>6541</x:v>
      </x:c>
      <x:c r="F66" s="33" t="str">
        <x:v>DOC000136</x:v>
      </x:c>
      <x:c r="G66" s="34" t="str">
        <x:v>ASSET</x:v>
      </x:c>
      <x:c r="H66" s="34" t="str">
        <x:v>رف مخزني2*2*60 4طبقات</x:v>
      </x:c>
      <x:c r="I66" s="34" t="str">
        <x:v>EQUIPMENT</x:v>
      </x:c>
      <x:c r="J66" s="34" t="str"/>
      <x:c r="K66" s="34" t="str">
        <x:v>DOC000136-01</x:v>
      </x:c>
      <x:c r="L66" s="34" t="str">
        <x:v>Storage equipment</x:v>
      </x:c>
      <x:c r="M66" s="36" t="n">
        <x:v>2</x:v>
      </x:c>
      <x:c r="N66" s="34" t="str">
        <x:v>piece</x:v>
      </x:c>
      <x:c r="O66" s="37" t="n">
        <x:v>119000</x:v>
      </x:c>
      <x:c r="P66" s="37" t="n">
        <x:v>238000</x:v>
      </x:c>
      <x:c r="Q66" s="37" t="str">
        <x:v>IQD</x:v>
      </x:c>
      <x:c r="R66" s="37" t="str"/>
      <x:c r="S66" s="37" t="n">
        <x:v>237933</x:v>
      </x:c>
      <x:c r="T66" s="37" t="n">
        <x:v>371995</x:v>
      </x:c>
      <x:c r="U66" s="34" t="str">
        <x:v>PAID</x:v>
      </x:c>
      <x:c r="V66" s="34" t="str">
        <x:v>Cash on Hands</x:v>
      </x:c>
      <x:c r="W66" s="34" t="str">
        <x:v>HQ</x:v>
      </x:c>
      <x:c r="X66" s="34" t="str">
        <x:v>Date normalized from the workbook numeric cell to its visible day/month convention. Invoice total controls; source detail sum was 372100.</x:v>
      </x:c>
    </x:row>
    <x:row r="67">
      <x:c r="A67" s="33" t="str">
        <x:v>DOC000136</x:v>
      </x:c>
      <x:c r="B67" s="34" t="n">
        <x:v>2</x:v>
      </x:c>
      <x:c r="C67" s="35" t="str">
        <x:v>2026-02-01</x:v>
      </x:c>
      <x:c r="D67" s="34" t="str">
        <x:v>جهى برا</x:v>
      </x:c>
      <x:c r="E67" s="33" t="str">
        <x:v>6541</x:v>
      </x:c>
      <x:c r="F67" s="33" t="str">
        <x:v>DOC000136</x:v>
      </x:c>
      <x:c r="G67" s="34" t="str">
        <x:v>INVENTORY</x:v>
      </x:c>
      <x:c r="H67" s="34" t="str">
        <x:v>اكياس دلفري 30*20</x:v>
      </x:c>
      <x:c r="I67" s="34" t="str">
        <x:v>PACKAGING</x:v>
      </x:c>
      <x:c r="J67" s="34" t="str">
        <x:v>PACKAGING</x:v>
      </x:c>
      <x:c r="K67" s="34" t="str"/>
      <x:c r="L67" s="34" t="str"/>
      <x:c r="M67" s="36" t="n">
        <x:v>100</x:v>
      </x:c>
      <x:c r="N67" s="34" t="str">
        <x:v>piece</x:v>
      </x:c>
      <x:c r="O67" s="37" t="n">
        <x:v>127.5</x:v>
      </x:c>
      <x:c r="P67" s="37" t="n">
        <x:v>12750</x:v>
      </x:c>
      <x:c r="Q67" s="37" t="str">
        <x:v>IQD</x:v>
      </x:c>
      <x:c r="R67" s="37" t="str"/>
      <x:c r="S67" s="37" t="n">
        <x:v>12747</x:v>
      </x:c>
      <x:c r="T67" s="37" t="n">
        <x:v>371995</x:v>
      </x:c>
      <x:c r="U67" s="34" t="str">
        <x:v>PAID</x:v>
      </x:c>
      <x:c r="V67" s="34" t="str">
        <x:v>Cash on Hands</x:v>
      </x:c>
      <x:c r="W67" s="34" t="str">
        <x:v>HQ</x:v>
      </x:c>
      <x:c r="X67" s="34" t="str">
        <x:v>Date normalized from the workbook numeric cell to its visible day/month convention. Invoice total controls; source detail sum was 372100.</x:v>
      </x:c>
    </x:row>
    <x:row r="68">
      <x:c r="A68" s="33" t="str">
        <x:v>DOC000136</x:v>
      </x:c>
      <x:c r="B68" s="34" t="n">
        <x:v>3</x:v>
      </x:c>
      <x:c r="C68" s="35" t="str">
        <x:v>2026-02-01</x:v>
      </x:c>
      <x:c r="D68" s="34" t="str">
        <x:v>جهى برا</x:v>
      </x:c>
      <x:c r="E68" s="33" t="str">
        <x:v>6541</x:v>
      </x:c>
      <x:c r="F68" s="33" t="str">
        <x:v>DOC000136</x:v>
      </x:c>
      <x:c r="G68" s="34" t="str">
        <x:v>INVENTORY</x:v>
      </x:c>
      <x:c r="H68" s="34" t="str">
        <x:v>اكياس دلفري 45*30</x:v>
      </x:c>
      <x:c r="I68" s="34" t="str">
        <x:v>PACKAGING</x:v>
      </x:c>
      <x:c r="J68" s="34" t="str">
        <x:v>PACKAGING</x:v>
      </x:c>
      <x:c r="K68" s="34" t="str"/>
      <x:c r="L68" s="34" t="str"/>
      <x:c r="M68" s="36" t="n">
        <x:v>100</x:v>
      </x:c>
      <x:c r="N68" s="34" t="str">
        <x:v>piece</x:v>
      </x:c>
      <x:c r="O68" s="37" t="n">
        <x:v>128</x:v>
      </x:c>
      <x:c r="P68" s="37" t="n">
        <x:v>12800</x:v>
      </x:c>
      <x:c r="Q68" s="37" t="str">
        <x:v>IQD</x:v>
      </x:c>
      <x:c r="R68" s="37" t="str"/>
      <x:c r="S68" s="37" t="n">
        <x:v>12796</x:v>
      </x:c>
      <x:c r="T68" s="37" t="n">
        <x:v>371995</x:v>
      </x:c>
      <x:c r="U68" s="34" t="str">
        <x:v>PAID</x:v>
      </x:c>
      <x:c r="V68" s="34" t="str">
        <x:v>Cash on Hands</x:v>
      </x:c>
      <x:c r="W68" s="34" t="str">
        <x:v>HQ</x:v>
      </x:c>
      <x:c r="X68" s="34" t="str">
        <x:v>Date normalized from the workbook numeric cell to its visible day/month convention. Invoice total controls; source detail sum was 372100.</x:v>
      </x:c>
    </x:row>
    <x:row r="69">
      <x:c r="A69" s="33" t="str">
        <x:v>DOC000136</x:v>
      </x:c>
      <x:c r="B69" s="34" t="n">
        <x:v>4</x:v>
      </x:c>
      <x:c r="C69" s="35" t="str">
        <x:v>2026-02-01</x:v>
      </x:c>
      <x:c r="D69" s="34" t="str">
        <x:v>جهى برا</x:v>
      </x:c>
      <x:c r="E69" s="33" t="str">
        <x:v>6541</x:v>
      </x:c>
      <x:c r="F69" s="33" t="str">
        <x:v>DOC000136</x:v>
      </x:c>
      <x:c r="G69" s="34" t="str">
        <x:v>INVENTORY</x:v>
      </x:c>
      <x:c r="H69" s="34" t="str">
        <x:v>اكياس دلفري 50*40</x:v>
      </x:c>
      <x:c r="I69" s="34" t="str">
        <x:v>PACKAGING</x:v>
      </x:c>
      <x:c r="J69" s="34" t="str">
        <x:v>PACKAGING</x:v>
      </x:c>
      <x:c r="K69" s="34" t="str"/>
      <x:c r="L69" s="34" t="str"/>
      <x:c r="M69" s="36" t="n">
        <x:v>100</x:v>
      </x:c>
      <x:c r="N69" s="34" t="str">
        <x:v>piece</x:v>
      </x:c>
      <x:c r="O69" s="37" t="n">
        <x:v>128</x:v>
      </x:c>
      <x:c r="P69" s="37" t="n">
        <x:v>12800</x:v>
      </x:c>
      <x:c r="Q69" s="37" t="str">
        <x:v>IQD</x:v>
      </x:c>
      <x:c r="R69" s="37" t="str"/>
      <x:c r="S69" s="37" t="n">
        <x:v>12796</x:v>
      </x:c>
      <x:c r="T69" s="37" t="n">
        <x:v>371995</x:v>
      </x:c>
      <x:c r="U69" s="34" t="str">
        <x:v>PAID</x:v>
      </x:c>
      <x:c r="V69" s="34" t="str">
        <x:v>Cash on Hands</x:v>
      </x:c>
      <x:c r="W69" s="34" t="str">
        <x:v>HQ</x:v>
      </x:c>
      <x:c r="X69" s="34" t="str">
        <x:v>Date normalized from the workbook numeric cell to its visible day/month convention. Invoice total controls; source detail sum was 372100.</x:v>
      </x:c>
    </x:row>
    <x:row r="70">
      <x:c r="A70" s="33" t="str">
        <x:v>DOC000136</x:v>
      </x:c>
      <x:c r="B70" s="34" t="n">
        <x:v>5</x:v>
      </x:c>
      <x:c r="C70" s="35" t="str">
        <x:v>2026-02-01</x:v>
      </x:c>
      <x:c r="D70" s="34" t="str">
        <x:v>جهى برا</x:v>
      </x:c>
      <x:c r="E70" s="33" t="str">
        <x:v>6541</x:v>
      </x:c>
      <x:c r="F70" s="33" t="str">
        <x:v>DOC000136</x:v>
      </x:c>
      <x:c r="G70" s="34" t="str">
        <x:v>INVENTORY</x:v>
      </x:c>
      <x:c r="H70" s="34" t="str">
        <x:v>اكياس دلفري 45*60</x:v>
      </x:c>
      <x:c r="I70" s="34" t="str">
        <x:v>PACKAGING</x:v>
      </x:c>
      <x:c r="J70" s="34" t="str">
        <x:v>PACKAGING</x:v>
      </x:c>
      <x:c r="K70" s="34" t="str"/>
      <x:c r="L70" s="34" t="str"/>
      <x:c r="M70" s="36" t="n">
        <x:v>100</x:v>
      </x:c>
      <x:c r="N70" s="34" t="str">
        <x:v>piece</x:v>
      </x:c>
      <x:c r="O70" s="37" t="n">
        <x:v>128</x:v>
      </x:c>
      <x:c r="P70" s="37" t="n">
        <x:v>12800</x:v>
      </x:c>
      <x:c r="Q70" s="37" t="str">
        <x:v>IQD</x:v>
      </x:c>
      <x:c r="R70" s="37" t="str"/>
      <x:c r="S70" s="37" t="n">
        <x:v>12796</x:v>
      </x:c>
      <x:c r="T70" s="37" t="n">
        <x:v>371995</x:v>
      </x:c>
      <x:c r="U70" s="34" t="str">
        <x:v>PAID</x:v>
      </x:c>
      <x:c r="V70" s="34" t="str">
        <x:v>Cash on Hands</x:v>
      </x:c>
      <x:c r="W70" s="34" t="str">
        <x:v>HQ</x:v>
      </x:c>
      <x:c r="X70" s="34" t="str">
        <x:v>Date normalized from the workbook numeric cell to its visible day/month convention. Invoice total controls; source detail sum was 372100.</x:v>
      </x:c>
    </x:row>
    <x:row r="71">
      <x:c r="A71" s="33" t="str">
        <x:v>DOC000136</x:v>
      </x:c>
      <x:c r="B71" s="34" t="n">
        <x:v>6</x:v>
      </x:c>
      <x:c r="C71" s="35" t="str">
        <x:v>2026-02-01</x:v>
      </x:c>
      <x:c r="D71" s="34" t="str">
        <x:v>جهى برا</x:v>
      </x:c>
      <x:c r="E71" s="33" t="str">
        <x:v>6541</x:v>
      </x:c>
      <x:c r="F71" s="33" t="str">
        <x:v>DOC000136</x:v>
      </x:c>
      <x:c r="G71" s="34" t="str">
        <x:v>INVENTORY</x:v>
      </x:c>
      <x:c r="H71" s="34" t="str">
        <x:v>علبة بلاستيك لون اسود حجم 500</x:v>
      </x:c>
      <x:c r="I71" s="34" t="str">
        <x:v>PACKAGING</x:v>
      </x:c>
      <x:c r="J71" s="34" t="str">
        <x:v>PACKAGING</x:v>
      </x:c>
      <x:c r="K71" s="34" t="str"/>
      <x:c r="L71" s="34" t="str"/>
      <x:c r="M71" s="36" t="n">
        <x:v>150</x:v>
      </x:c>
      <x:c r="N71" s="34" t="str">
        <x:v>piece</x:v>
      </x:c>
      <x:c r="O71" s="37" t="n">
        <x:v>453</x:v>
      </x:c>
      <x:c r="P71" s="37" t="n">
        <x:v>67950</x:v>
      </x:c>
      <x:c r="Q71" s="37" t="str">
        <x:v>IQD</x:v>
      </x:c>
      <x:c r="R71" s="37" t="str"/>
      <x:c r="S71" s="37" t="n">
        <x:v>67931</x:v>
      </x:c>
      <x:c r="T71" s="37" t="n">
        <x:v>371995</x:v>
      </x:c>
      <x:c r="U71" s="34" t="str">
        <x:v>PAID</x:v>
      </x:c>
      <x:c r="V71" s="34" t="str">
        <x:v>Cash on Hands</x:v>
      </x:c>
      <x:c r="W71" s="34" t="str">
        <x:v>HQ</x:v>
      </x:c>
      <x:c r="X71" s="34" t="str">
        <x:v>Date normalized from the workbook numeric cell to its visible day/month convention. Invoice total controls; source detail sum was 372100.</x:v>
      </x:c>
    </x:row>
    <x:row r="72">
      <x:c r="A72" s="33" t="str">
        <x:v>DOC000136</x:v>
      </x:c>
      <x:c r="B72" s="34" t="n">
        <x:v>7</x:v>
      </x:c>
      <x:c r="C72" s="35" t="str">
        <x:v>2026-02-01</x:v>
      </x:c>
      <x:c r="D72" s="34" t="str">
        <x:v>جهى برا</x:v>
      </x:c>
      <x:c r="E72" s="33" t="str">
        <x:v>6541</x:v>
      </x:c>
      <x:c r="F72" s="33" t="str">
        <x:v>DOC000136</x:v>
      </x:c>
      <x:c r="G72" s="34" t="str">
        <x:v>EXPENSE</x:v>
      </x:c>
      <x:c r="H72" s="34" t="str">
        <x:v>غلاية ماء 800 مل</x:v>
      </x:c>
      <x:c r="I72" s="34" t="str">
        <x:v>EQUIPMENT</x:v>
      </x:c>
      <x:c r="J72" s="34" t="str"/>
      <x:c r="K72" s="34" t="str"/>
      <x:c r="L72" s="34" t="str"/>
      <x:c r="M72" s="36" t="n">
        <x:v>1</x:v>
      </x:c>
      <x:c r="N72" s="34" t="str">
        <x:v>piece</x:v>
      </x:c>
      <x:c r="O72" s="37" t="n">
        <x:v>15000</x:v>
      </x:c>
      <x:c r="P72" s="37" t="n">
        <x:v>15000</x:v>
      </x:c>
      <x:c r="Q72" s="37" t="str">
        <x:v>IQD</x:v>
      </x:c>
      <x:c r="R72" s="37" t="str"/>
      <x:c r="S72" s="37" t="n">
        <x:v>14996</x:v>
      </x:c>
      <x:c r="T72" s="37" t="n">
        <x:v>371995</x:v>
      </x:c>
      <x:c r="U72" s="34" t="str">
        <x:v>PAID</x:v>
      </x:c>
      <x:c r="V72" s="34" t="str">
        <x:v>Cash on Hands</x:v>
      </x:c>
      <x:c r="W72" s="34" t="str">
        <x:v>HQ</x:v>
      </x:c>
      <x:c r="X72" s="34" t="str">
        <x:v>Date normalized from the workbook numeric cell to its visible day/month convention. Invoice total controls; source detail sum was 372100.</x:v>
      </x:c>
    </x:row>
    <x:row r="73">
      <x:c r="A73" s="33" t="str">
        <x:v>DOC000137</x:v>
      </x:c>
      <x:c r="B73" s="34" t="n">
        <x:v>1</x:v>
      </x:c>
      <x:c r="C73" s="35" t="str">
        <x:v>2025-12-31</x:v>
      </x:c>
      <x:c r="D73" s="34" t="str">
        <x:v>كوكل</x:v>
      </x:c>
      <x:c r="E73" s="33" t="str">
        <x:v>5447007936</x:v>
      </x:c>
      <x:c r="F73" s="33" t="str">
        <x:v>DOC000137</x:v>
      </x:c>
      <x:c r="G73" s="34" t="str">
        <x:v>SERVICE</x:v>
      </x:c>
      <x:c r="H73" s="34" t="str">
        <x:v>اشتراك سنوي دومين لهيب</x:v>
      </x:c>
      <x:c r="I73" s="34" t="str">
        <x:v>TECH</x:v>
      </x:c>
      <x:c r="J73" s="34" t="str"/>
      <x:c r="K73" s="34" t="str"/>
      <x:c r="L73" s="34" t="str"/>
      <x:c r="M73" s="36" t="n">
        <x:v>1</x:v>
      </x:c>
      <x:c r="N73" s="34" t="str">
        <x:v>piece</x:v>
      </x:c>
      <x:c r="O73" s="37" t="n">
        <x:v>30</x:v>
      </x:c>
      <x:c r="P73" s="37" t="n">
        <x:v>30</x:v>
      </x:c>
      <x:c r="Q73" s="37" t="str">
        <x:v>USD</x:v>
      </x:c>
      <x:c r="R73" s="37" t="n">
        <x:v>1340</x:v>
      </x:c>
      <x:c r="S73" s="37" t="n">
        <x:v>40200</x:v>
      </x:c>
      <x:c r="T73" s="37" t="n">
        <x:v>40200</x:v>
      </x:c>
      <x:c r="U73" s="34" t="str">
        <x:v>PAID</x:v>
      </x:c>
      <x:c r="V73" s="34" t="str">
        <x:v>Cash on Hands</x:v>
      </x:c>
      <x:c r="W73" s="34" t="str">
        <x:v>HQ</x:v>
      </x:c>
      <x:c r="X73" s="34" t="str">
        <x:v>Invoice total controls; source detail sum was 30.</x:v>
      </x:c>
    </x:row>
    <x:row r="74">
      <x:c r="A74" s="33" t="str">
        <x:v>DOC000138</x:v>
      </x:c>
      <x:c r="B74" s="34" t="n">
        <x:v>1</x:v>
      </x:c>
      <x:c r="C74" s="35" t="str">
        <x:v>2026-01-31</x:v>
      </x:c>
      <x:c r="D74" s="34" t="str">
        <x:v>كوكل</x:v>
      </x:c>
      <x:c r="E74" s="33" t="str">
        <x:v>5475295714</x:v>
      </x:c>
      <x:c r="F74" s="33" t="str">
        <x:v>DOC000138</x:v>
      </x:c>
      <x:c r="G74" s="34" t="str">
        <x:v>SERVICE</x:v>
      </x:c>
      <x:c r="H74" s="34" t="str">
        <x:v>اشتراك شهري بريد الكتروني</x:v>
      </x:c>
      <x:c r="I74" s="34" t="str">
        <x:v>TECH</x:v>
      </x:c>
      <x:c r="J74" s="34" t="str"/>
      <x:c r="K74" s="34" t="str"/>
      <x:c r="L74" s="34" t="str"/>
      <x:c r="M74" s="36" t="n">
        <x:v>1</x:v>
      </x:c>
      <x:c r="N74" s="34" t="str">
        <x:v>piece</x:v>
      </x:c>
      <x:c r="O74" s="37" t="n">
        <x:v>6.1</x:v>
      </x:c>
      <x:c r="P74" s="37" t="n">
        <x:v>6.1</x:v>
      </x:c>
      <x:c r="Q74" s="37" t="str">
        <x:v>USD</x:v>
      </x:c>
      <x:c r="R74" s="37" t="n">
        <x:v>1340</x:v>
      </x:c>
      <x:c r="S74" s="37" t="n">
        <x:v>8174</x:v>
      </x:c>
      <x:c r="T74" s="37" t="n">
        <x:v>8174</x:v>
      </x:c>
      <x:c r="U74" s="34" t="str">
        <x:v>PAID</x:v>
      </x:c>
      <x:c r="V74" s="34" t="str">
        <x:v>Cash on Hands</x:v>
      </x:c>
      <x:c r="W74" s="34" t="str">
        <x:v>HQ</x:v>
      </x:c>
      <x:c r="X74" s="34" t="str">
        <x:v>Invoice total controls; source detail sum was 6.1.</x:v>
      </x:c>
    </x:row>
    <x:row r="75">
      <x:c r="A75" s="33" t="str">
        <x:v>DOC000139</x:v>
      </x:c>
      <x:c r="B75" s="34" t="n">
        <x:v>1</x:v>
      </x:c>
      <x:c r="C75" s="35" t="str">
        <x:v>2026-02-28</x:v>
      </x:c>
      <x:c r="D75" s="34" t="str">
        <x:v>كوكل</x:v>
      </x:c>
      <x:c r="E75" s="33" t="str">
        <x:v>5500857482</x:v>
      </x:c>
      <x:c r="F75" s="33" t="str">
        <x:v>DOC000139</x:v>
      </x:c>
      <x:c r="G75" s="34" t="str">
        <x:v>SERVICE</x:v>
      </x:c>
      <x:c r="H75" s="34" t="str">
        <x:v>اشتراك شهري بريد الكتروني</x:v>
      </x:c>
      <x:c r="I75" s="34" t="str">
        <x:v>TECH</x:v>
      </x:c>
      <x:c r="J75" s="34" t="str"/>
      <x:c r="K75" s="34" t="str"/>
      <x:c r="L75" s="34" t="str"/>
      <x:c r="M75" s="36" t="n">
        <x:v>1</x:v>
      </x:c>
      <x:c r="N75" s="34" t="str">
        <x:v>piece</x:v>
      </x:c>
      <x:c r="O75" s="37" t="n">
        <x:v>6.3</x:v>
      </x:c>
      <x:c r="P75" s="37" t="n">
        <x:v>6.3</x:v>
      </x:c>
      <x:c r="Q75" s="37" t="str">
        <x:v>USD</x:v>
      </x:c>
      <x:c r="R75" s="37" t="n">
        <x:v>1340</x:v>
      </x:c>
      <x:c r="S75" s="37" t="n">
        <x:v>8442</x:v>
      </x:c>
      <x:c r="T75" s="37" t="n">
        <x:v>8442</x:v>
      </x:c>
      <x:c r="U75" s="34" t="str">
        <x:v>PAID</x:v>
      </x:c>
      <x:c r="V75" s="34" t="str">
        <x:v>Cash on Hands</x:v>
      </x:c>
      <x:c r="W75" s="34" t="str">
        <x:v>HQ</x:v>
      </x:c>
      <x:c r="X75" s="34" t="str">
        <x:v>Invoice total controls; source detail sum was 6.3.</x:v>
      </x:c>
    </x:row>
    <x:row r="76">
      <x:c r="A76" s="33" t="str">
        <x:v>DOC000140</x:v>
      </x:c>
      <x:c r="B76" s="34" t="n">
        <x:v>1</x:v>
      </x:c>
      <x:c r="C76" s="35" t="str">
        <x:v>2026-03-31</x:v>
      </x:c>
      <x:c r="D76" s="34" t="str">
        <x:v>كوكل</x:v>
      </x:c>
      <x:c r="E76" s="33" t="str">
        <x:v>5527655767</x:v>
      </x:c>
      <x:c r="F76" s="33" t="str">
        <x:v>DOC000140</x:v>
      </x:c>
      <x:c r="G76" s="34" t="str">
        <x:v>SERVICE</x:v>
      </x:c>
      <x:c r="H76" s="34" t="str">
        <x:v>اشتراك شهري بريد الكتروني</x:v>
      </x:c>
      <x:c r="I76" s="34" t="str">
        <x:v>TECH</x:v>
      </x:c>
      <x:c r="J76" s="34" t="str"/>
      <x:c r="K76" s="34" t="str"/>
      <x:c r="L76" s="34" t="str"/>
      <x:c r="M76" s="36" t="n">
        <x:v>1</x:v>
      </x:c>
      <x:c r="N76" s="34" t="str">
        <x:v>piece</x:v>
      </x:c>
      <x:c r="O76" s="37" t="n">
        <x:v>6.3</x:v>
      </x:c>
      <x:c r="P76" s="37" t="n">
        <x:v>6.3</x:v>
      </x:c>
      <x:c r="Q76" s="37" t="str">
        <x:v>USD</x:v>
      </x:c>
      <x:c r="R76" s="37" t="n">
        <x:v>1340</x:v>
      </x:c>
      <x:c r="S76" s="37" t="n">
        <x:v>8442</x:v>
      </x:c>
      <x:c r="T76" s="37" t="n">
        <x:v>8442</x:v>
      </x:c>
      <x:c r="U76" s="34" t="str">
        <x:v>PAID</x:v>
      </x:c>
      <x:c r="V76" s="34" t="str">
        <x:v>Cash on Hands</x:v>
      </x:c>
      <x:c r="W76" s="34" t="str">
        <x:v>HQ</x:v>
      </x:c>
      <x:c r="X76" s="34" t="str">
        <x:v>Invoice total controls; source detail sum was 6.3.</x:v>
      </x:c>
    </x:row>
    <x:row r="77">
      <x:c r="A77" s="33" t="str">
        <x:v>DOC000141</x:v>
      </x:c>
      <x:c r="B77" s="34" t="n">
        <x:v>1</x:v>
      </x:c>
      <x:c r="C77" s="35" t="str">
        <x:v>2025-10-26</x:v>
      </x:c>
      <x:c r="D77" s="34" t="str">
        <x:v>جهى برا</x:v>
      </x:c>
      <x:c r="E77" s="33" t="str">
        <x:v>6542</x:v>
      </x:c>
      <x:c r="F77" s="33" t="str">
        <x:v>DOC000141</x:v>
      </x:c>
      <x:c r="G77" s="34" t="str">
        <x:v>INVENTORY</x:v>
      </x:c>
      <x:c r="H77" s="34" t="str">
        <x:v>موكا بوت</x:v>
      </x:c>
      <x:c r="I77" s="34" t="str">
        <x:v>EQUIPMENT</x:v>
      </x:c>
      <x:c r="J77" s="34" t="str">
        <x:v>ACCESSORY</x:v>
      </x:c>
      <x:c r="K77" s="34" t="str"/>
      <x:c r="L77" s="34" t="str"/>
      <x:c r="M77" s="36" t="n">
        <x:v>1</x:v>
      </x:c>
      <x:c r="N77" s="34" t="str">
        <x:v>piece</x:v>
      </x:c>
      <x:c r="O77" s="37" t="n">
        <x:v>22000</x:v>
      </x:c>
      <x:c r="P77" s="37" t="n">
        <x:v>22000</x:v>
      </x:c>
      <x:c r="Q77" s="37" t="str">
        <x:v>IQD</x:v>
      </x:c>
      <x:c r="R77" s="37" t="str"/>
      <x:c r="S77" s="37" t="n">
        <x:v>22000</x:v>
      </x:c>
      <x:c r="T77" s="37" t="n">
        <x:v>110000</x:v>
      </x:c>
      <x:c r="U77" s="34" t="str">
        <x:v>PAID</x:v>
      </x:c>
      <x:c r="V77" s="34" t="str">
        <x:v>Cash on Hands</x:v>
      </x:c>
      <x:c r="W77" s="34" t="str">
        <x:v>HQ</x:v>
      </x:c>
      <x:c r="X77" s="34" t="str"/>
    </x:row>
    <x:row r="78">
      <x:c r="A78" s="33" t="str">
        <x:v>DOC000141</x:v>
      </x:c>
      <x:c r="B78" s="34" t="n">
        <x:v>2</x:v>
      </x:c>
      <x:c r="C78" s="35" t="str">
        <x:v>2025-10-26</x:v>
      </x:c>
      <x:c r="D78" s="34" t="str">
        <x:v>جهى برا</x:v>
      </x:c>
      <x:c r="E78" s="33" t="str">
        <x:v>6542</x:v>
      </x:c>
      <x:c r="F78" s="33" t="str">
        <x:v>DOC000141</x:v>
      </x:c>
      <x:c r="G78" s="34" t="str">
        <x:v>INVENTORY</x:v>
      </x:c>
      <x:c r="H78" s="34" t="str">
        <x:v>ايرو بريس</x:v>
      </x:c>
      <x:c r="I78" s="34" t="str">
        <x:v>EQUIPMENT</x:v>
      </x:c>
      <x:c r="J78" s="34" t="str">
        <x:v>ACCESSORY</x:v>
      </x:c>
      <x:c r="K78" s="34" t="str"/>
      <x:c r="L78" s="34" t="str"/>
      <x:c r="M78" s="36" t="n">
        <x:v>1</x:v>
      </x:c>
      <x:c r="N78" s="34" t="str">
        <x:v>piece</x:v>
      </x:c>
      <x:c r="O78" s="37" t="n">
        <x:v>22000</x:v>
      </x:c>
      <x:c r="P78" s="37" t="n">
        <x:v>22000</x:v>
      </x:c>
      <x:c r="Q78" s="37" t="str">
        <x:v>IQD</x:v>
      </x:c>
      <x:c r="R78" s="37" t="str"/>
      <x:c r="S78" s="37" t="n">
        <x:v>22000</x:v>
      </x:c>
      <x:c r="T78" s="37" t="n">
        <x:v>110000</x:v>
      </x:c>
      <x:c r="U78" s="34" t="str">
        <x:v>PAID</x:v>
      </x:c>
      <x:c r="V78" s="34" t="str">
        <x:v>Cash on Hands</x:v>
      </x:c>
      <x:c r="W78" s="34" t="str">
        <x:v>HQ</x:v>
      </x:c>
      <x:c r="X78" s="34" t="str"/>
    </x:row>
    <x:row r="79">
      <x:c r="A79" s="33" t="str">
        <x:v>DOC000141</x:v>
      </x:c>
      <x:c r="B79" s="34" t="n">
        <x:v>3</x:v>
      </x:c>
      <x:c r="C79" s="35" t="str">
        <x:v>2025-10-26</x:v>
      </x:c>
      <x:c r="D79" s="34" t="str">
        <x:v>جهى برا</x:v>
      </x:c>
      <x:c r="E79" s="33" t="str">
        <x:v>6542</x:v>
      </x:c>
      <x:c r="F79" s="33" t="str">
        <x:v>DOC000141</x:v>
      </x:c>
      <x:c r="G79" s="34" t="str">
        <x:v>INVENTORY</x:v>
      </x:c>
      <x:c r="H79" s="34" t="str">
        <x:v>V60 سيت تحضير</x:v>
      </x:c>
      <x:c r="I79" s="34" t="str">
        <x:v>EQUIPMENT</x:v>
      </x:c>
      <x:c r="J79" s="34" t="str">
        <x:v>ACCESSORY</x:v>
      </x:c>
      <x:c r="K79" s="34" t="str"/>
      <x:c r="L79" s="34" t="str"/>
      <x:c r="M79" s="36" t="n">
        <x:v>1</x:v>
      </x:c>
      <x:c r="N79" s="34" t="str">
        <x:v>piece</x:v>
      </x:c>
      <x:c r="O79" s="37" t="n">
        <x:v>22000</x:v>
      </x:c>
      <x:c r="P79" s="37" t="n">
        <x:v>22000</x:v>
      </x:c>
      <x:c r="Q79" s="37" t="str">
        <x:v>IQD</x:v>
      </x:c>
      <x:c r="R79" s="37" t="str"/>
      <x:c r="S79" s="37" t="n">
        <x:v>22000</x:v>
      </x:c>
      <x:c r="T79" s="37" t="n">
        <x:v>110000</x:v>
      </x:c>
      <x:c r="U79" s="34" t="str">
        <x:v>PAID</x:v>
      </x:c>
      <x:c r="V79" s="34" t="str">
        <x:v>Cash on Hands</x:v>
      </x:c>
      <x:c r="W79" s="34" t="str">
        <x:v>HQ</x:v>
      </x:c>
      <x:c r="X79" s="34" t="str"/>
    </x:row>
    <x:row r="80">
      <x:c r="A80" s="33" t="str">
        <x:v>DOC000141</x:v>
      </x:c>
      <x:c r="B80" s="34" t="n">
        <x:v>4</x:v>
      </x:c>
      <x:c r="C80" s="35" t="str">
        <x:v>2025-10-26</x:v>
      </x:c>
      <x:c r="D80" s="34" t="str">
        <x:v>جهى برا</x:v>
      </x:c>
      <x:c r="E80" s="33" t="str">
        <x:v>6542</x:v>
      </x:c>
      <x:c r="F80" s="33" t="str">
        <x:v>DOC000141</x:v>
      </x:c>
      <x:c r="G80" s="34" t="str">
        <x:v>INVENTORY</x:v>
      </x:c>
      <x:c r="H80" s="34" t="str">
        <x:v>ميزان الكتروني</x:v>
      </x:c>
      <x:c r="I80" s="34" t="str">
        <x:v>EQUIPMENT</x:v>
      </x:c>
      <x:c r="J80" s="34" t="str">
        <x:v>ACCESSORY</x:v>
      </x:c>
      <x:c r="K80" s="34" t="str"/>
      <x:c r="L80" s="34" t="str"/>
      <x:c r="M80" s="36" t="n">
        <x:v>1</x:v>
      </x:c>
      <x:c r="N80" s="34" t="str">
        <x:v>piece</x:v>
      </x:c>
      <x:c r="O80" s="37" t="n">
        <x:v>22000</x:v>
      </x:c>
      <x:c r="P80" s="37" t="n">
        <x:v>22000</x:v>
      </x:c>
      <x:c r="Q80" s="37" t="str">
        <x:v>IQD</x:v>
      </x:c>
      <x:c r="R80" s="37" t="str"/>
      <x:c r="S80" s="37" t="n">
        <x:v>22000</x:v>
      </x:c>
      <x:c r="T80" s="37" t="n">
        <x:v>110000</x:v>
      </x:c>
      <x:c r="U80" s="34" t="str">
        <x:v>PAID</x:v>
      </x:c>
      <x:c r="V80" s="34" t="str">
        <x:v>Cash on Hands</x:v>
      </x:c>
      <x:c r="W80" s="34" t="str">
        <x:v>HQ</x:v>
      </x:c>
      <x:c r="X80" s="34" t="str"/>
    </x:row>
    <x:row r="81">
      <x:c r="A81" s="33" t="str">
        <x:v>DOC000141</x:v>
      </x:c>
      <x:c r="B81" s="34" t="n">
        <x:v>5</x:v>
      </x:c>
      <x:c r="C81" s="35" t="str">
        <x:v>2025-10-26</x:v>
      </x:c>
      <x:c r="D81" s="34" t="str">
        <x:v>جهى برا</x:v>
      </x:c>
      <x:c r="E81" s="33" t="str">
        <x:v>6542</x:v>
      </x:c>
      <x:c r="F81" s="33" t="str">
        <x:v>DOC000141</x:v>
      </x:c>
      <x:c r="G81" s="34" t="str">
        <x:v>INVENTORY</x:v>
      </x:c>
      <x:c r="H81" s="34" t="str">
        <x:v>كتلي</x:v>
      </x:c>
      <x:c r="I81" s="34" t="str">
        <x:v>EQUIPMENT</x:v>
      </x:c>
      <x:c r="J81" s="34" t="str">
        <x:v>ACCESSORY</x:v>
      </x:c>
      <x:c r="K81" s="34" t="str"/>
      <x:c r="L81" s="34" t="str"/>
      <x:c r="M81" s="36" t="n">
        <x:v>1</x:v>
      </x:c>
      <x:c r="N81" s="34" t="str">
        <x:v>piece</x:v>
      </x:c>
      <x:c r="O81" s="37" t="n">
        <x:v>22000</x:v>
      </x:c>
      <x:c r="P81" s="37" t="n">
        <x:v>22000</x:v>
      </x:c>
      <x:c r="Q81" s="37" t="str">
        <x:v>IQD</x:v>
      </x:c>
      <x:c r="R81" s="37" t="str"/>
      <x:c r="S81" s="37" t="n">
        <x:v>22000</x:v>
      </x:c>
      <x:c r="T81" s="37" t="n">
        <x:v>110000</x:v>
      </x:c>
      <x:c r="U81" s="34" t="str">
        <x:v>PAID</x:v>
      </x:c>
      <x:c r="V81" s="34" t="str">
        <x:v>Cash on Hands</x:v>
      </x:c>
      <x:c r="W81" s="34" t="str">
        <x:v>HQ</x:v>
      </x:c>
      <x:c r="X81" s="34" t="str"/>
    </x:row>
    <x:row r="82">
      <x:c r="A82" s="33" t="str">
        <x:v>DOC000142</x:v>
      </x:c>
      <x:c r="B82" s="34" t="n">
        <x:v>1</x:v>
      </x:c>
      <x:c r="C82" s="35" t="str">
        <x:v>2026-04-04</x:v>
      </x:c>
      <x:c r="D82" s="34" t="str">
        <x:v>اودو</x:v>
      </x:c>
      <x:c r="E82" s="33" t="str">
        <x:v>INV/2026/29604</x:v>
      </x:c>
      <x:c r="F82" s="33" t="str">
        <x:v>DOC000142</x:v>
      </x:c>
      <x:c r="G82" s="34" t="str">
        <x:v>SERVICE</x:v>
      </x:c>
      <x:c r="H82" s="34" t="str">
        <x:v>اشتراك اودو سنوي</x:v>
      </x:c>
      <x:c r="I82" s="34" t="str">
        <x:v>TECH</x:v>
      </x:c>
      <x:c r="J82" s="34" t="str"/>
      <x:c r="K82" s="34" t="str"/>
      <x:c r="L82" s="34" t="str"/>
      <x:c r="M82" s="36" t="n">
        <x:v>1</x:v>
      </x:c>
      <x:c r="N82" s="34" t="str">
        <x:v>piece</x:v>
      </x:c>
      <x:c r="O82" s="37" t="n">
        <x:v>130</x:v>
      </x:c>
      <x:c r="P82" s="37" t="n">
        <x:v>130</x:v>
      </x:c>
      <x:c r="Q82" s="37" t="str">
        <x:v>USD</x:v>
      </x:c>
      <x:c r="R82" s="37" t="n">
        <x:v>1340</x:v>
      </x:c>
      <x:c r="S82" s="37" t="n">
        <x:v>174200</x:v>
      </x:c>
      <x:c r="T82" s="37" t="n">
        <x:v>174200</x:v>
      </x:c>
      <x:c r="U82" s="34" t="str">
        <x:v>PAID</x:v>
      </x:c>
      <x:c r="V82" s="34" t="str">
        <x:v>Cash on Hands</x:v>
      </x:c>
      <x:c r="W82" s="34" t="str">
        <x:v>HQ</x:v>
      </x:c>
      <x:c r="X82" s="34" t="str">
        <x:v>Date normalized from the workbook numeric cell to its visible day/month convention. Invoice total controls; source detail sum was 130.</x:v>
      </x:c>
    </x:row>
    <x:row r="83">
      <x:c r="A83" s="33" t="str">
        <x:v>DOC000143</x:v>
      </x:c>
      <x:c r="B83" s="34" t="n">
        <x:v>1</x:v>
      </x:c>
      <x:c r="C83" s="35" t="str">
        <x:v>2026-03-14</x:v>
      </x:c>
      <x:c r="D83" s="34" t="str">
        <x:v>اوس اكثم</x:v>
      </x:c>
      <x:c r="E83" s="33" t="str">
        <x:v>1446</x:v>
      </x:c>
      <x:c r="F83" s="33" t="str">
        <x:v>DOC000143</x:v>
      </x:c>
      <x:c r="G83" s="34" t="str">
        <x:v>INVENTORY</x:v>
      </x:c>
      <x:c r="H83" s="34" t="str">
        <x:v>كوب ورقي لهيب</x:v>
      </x:c>
      <x:c r="I83" s="34" t="str">
        <x:v>PACKAGING</x:v>
      </x:c>
      <x:c r="J83" s="34" t="str">
        <x:v>PACKAGING</x:v>
      </x:c>
      <x:c r="K83" s="34" t="str"/>
      <x:c r="L83" s="34" t="str"/>
      <x:c r="M83" s="36" t="n">
        <x:v>3000</x:v>
      </x:c>
      <x:c r="N83" s="34" t="str">
        <x:v>piece</x:v>
      </x:c>
      <x:c r="O83" s="37" t="n">
        <x:v>190</x:v>
      </x:c>
      <x:c r="P83" s="37" t="n">
        <x:v>570000</x:v>
      </x:c>
      <x:c r="Q83" s="37" t="str">
        <x:v>IQD</x:v>
      </x:c>
      <x:c r="R83" s="37" t="str"/>
      <x:c r="S83" s="37" t="n">
        <x:v>570000</x:v>
      </x:c>
      <x:c r="T83" s="37" t="n">
        <x:v>570000</x:v>
      </x:c>
      <x:c r="U83" s="34" t="str">
        <x:v>PAID</x:v>
      </x:c>
      <x:c r="V83" s="34" t="str">
        <x:v>Cash on Hands</x:v>
      </x:c>
      <x:c r="W83" s="34" t="str">
        <x:v>HQ</x:v>
      </x:c>
      <x:c r="X83" s="34" t="str"/>
    </x:row>
    <x:row r="84">
      <x:c r="A84" s="33" t="str">
        <x:v>DOC000144</x:v>
      </x:c>
      <x:c r="B84" s="34" t="n">
        <x:v>1</x:v>
      </x:c>
      <x:c r="C84" s="35" t="str">
        <x:v>2026-04-01</x:v>
      </x:c>
      <x:c r="D84" s="34" t="str">
        <x:v>سولو ستوديو</x:v>
      </x:c>
      <x:c r="E84" s="33" t="str">
        <x:v>بدون فاتورة</x:v>
      </x:c>
      <x:c r="F84" s="33" t="str">
        <x:v>DOC000144</x:v>
      </x:c>
      <x:c r="G84" s="34" t="str">
        <x:v>SERVICE</x:v>
      </x:c>
      <x:c r="H84" s="34" t="str">
        <x:v>دفعة اولى اجور تصميم هوية لهيب</x:v>
      </x:c>
      <x:c r="I84" s="34" t="str">
        <x:v>MARKETING</x:v>
      </x:c>
      <x:c r="J84" s="34" t="str"/>
      <x:c r="K84" s="34" t="str"/>
      <x:c r="L84" s="34" t="str"/>
      <x:c r="M84" s="36" t="n">
        <x:v>1</x:v>
      </x:c>
      <x:c r="N84" s="34" t="str">
        <x:v>piece</x:v>
      </x:c>
      <x:c r="O84" s="37" t="n">
        <x:v>3500000</x:v>
      </x:c>
      <x:c r="P84" s="37" t="n">
        <x:v>3500000</x:v>
      </x:c>
      <x:c r="Q84" s="37" t="str">
        <x:v>IQD</x:v>
      </x:c>
      <x:c r="R84" s="37" t="str"/>
      <x:c r="S84" s="37" t="n">
        <x:v>3500000</x:v>
      </x:c>
      <x:c r="T84" s="37" t="n">
        <x:v>3500000</x:v>
      </x:c>
      <x:c r="U84" s="34" t="str">
        <x:v>PAID</x:v>
      </x:c>
      <x:c r="V84" s="34" t="str">
        <x:v>Cash on Hands</x:v>
      </x:c>
      <x:c r="W84" s="34" t="str">
        <x:v>HQ</x:v>
      </x:c>
      <x:c r="X84" s="34" t="str">
        <x:v>Date normalized from the workbook numeric cell to its visible day/month convention.</x:v>
      </x:c>
    </x:row>
    <x:row r="85">
      <x:c r="A85" s="33" t="str">
        <x:v>DOC000145</x:v>
      </x:c>
      <x:c r="B85" s="34" t="n">
        <x:v>1</x:v>
      </x:c>
      <x:c r="C85" s="35" t="str">
        <x:v>2026-01-05</x:v>
      </x:c>
      <x:c r="D85" s="34" t="str">
        <x:v>جهى برا</x:v>
      </x:c>
      <x:c r="E85" s="33" t="str">
        <x:v>6543</x:v>
      </x:c>
      <x:c r="F85" s="33" t="str">
        <x:v>DOC000145</x:v>
      </x:c>
      <x:c r="G85" s="34" t="str">
        <x:v>INVENTORY</x:v>
      </x:c>
      <x:c r="H85" s="34" t="str">
        <x:v>سلفون دائري 70 ملم</x:v>
      </x:c>
      <x:c r="I85" s="34" t="str">
        <x:v>PACKAGING</x:v>
      </x:c>
      <x:c r="J85" s="34" t="str">
        <x:v>PACKAGING</x:v>
      </x:c>
      <x:c r="K85" s="34" t="str"/>
      <x:c r="L85" s="34" t="str"/>
      <x:c r="M85" s="36" t="n">
        <x:v>1100</x:v>
      </x:c>
      <x:c r="N85" s="34" t="str">
        <x:v>piece</x:v>
      </x:c>
      <x:c r="O85" s="37" t="n">
        <x:v>27.273</x:v>
      </x:c>
      <x:c r="P85" s="37" t="n">
        <x:v>30000</x:v>
      </x:c>
      <x:c r="Q85" s="37" t="str">
        <x:v>IQD</x:v>
      </x:c>
      <x:c r="R85" s="37" t="str"/>
      <x:c r="S85" s="37" t="n">
        <x:v>30000</x:v>
      </x:c>
      <x:c r="T85" s="37" t="n">
        <x:v>30000</x:v>
      </x:c>
      <x:c r="U85" s="34" t="str">
        <x:v>PAID</x:v>
      </x:c>
      <x:c r="V85" s="34" t="str">
        <x:v>Cash on Hands</x:v>
      </x:c>
      <x:c r="W85" s="34" t="str">
        <x:v>HQ</x:v>
      </x:c>
      <x:c r="X85" s="34" t="str">
        <x:v>Date normalized from the workbook numeric cell to its visible day/month convention.</x:v>
      </x:c>
    </x:row>
    <x:row r="86">
      <x:c r="A86" s="33" t="str">
        <x:v>DOC000146</x:v>
      </x:c>
      <x:c r="B86" s="34" t="n">
        <x:v>1</x:v>
      </x:c>
      <x:c r="C86" s="35" t="str">
        <x:v>2026-01-19</x:v>
      </x:c>
      <x:c r="D86" s="34" t="str">
        <x:v>معمل بلاستك الصريح</x:v>
      </x:c>
      <x:c r="E86" s="33" t="str">
        <x:v>540453413</x:v>
      </x:c>
      <x:c r="F86" s="33" t="str">
        <x:v>DOC000146</x:v>
      </x:c>
      <x:c r="G86" s="34" t="str">
        <x:v>INVENTORY</x:v>
      </x:c>
      <x:c r="H86" s="34" t="str">
        <x:v>سطل 12 كيلو ابيض</x:v>
      </x:c>
      <x:c r="I86" s="34" t="str">
        <x:v>PACKAGING</x:v>
      </x:c>
      <x:c r="J86" s="34" t="str">
        <x:v>PACKAGING</x:v>
      </x:c>
      <x:c r="K86" s="34" t="str"/>
      <x:c r="L86" s="34" t="str"/>
      <x:c r="M86" s="36" t="n">
        <x:v>25</x:v>
      </x:c>
      <x:c r="N86" s="34" t="str">
        <x:v>piece</x:v>
      </x:c>
      <x:c r="O86" s="37" t="n">
        <x:v>2000</x:v>
      </x:c>
      <x:c r="P86" s="37" t="n">
        <x:v>50000</x:v>
      </x:c>
      <x:c r="Q86" s="37" t="str">
        <x:v>IQD</x:v>
      </x:c>
      <x:c r="R86" s="37" t="str"/>
      <x:c r="S86" s="37" t="n">
        <x:v>50000</x:v>
      </x:c>
      <x:c r="T86" s="37" t="n">
        <x:v>50000</x:v>
      </x:c>
      <x:c r="U86" s="34" t="str">
        <x:v>PAID</x:v>
      </x:c>
      <x:c r="V86" s="34" t="str">
        <x:v>Cash on Hands</x:v>
      </x:c>
      <x:c r="W86" s="34" t="str">
        <x:v>HQ</x:v>
      </x:c>
      <x:c r="X86" s="34" t="str"/>
    </x:row>
    <x:row r="87">
      <x:c r="A87" s="33" t="str">
        <x:v>DOC000147</x:v>
      </x:c>
      <x:c r="B87" s="34" t="n">
        <x:v>1</x:v>
      </x:c>
      <x:c r="C87" s="35" t="str">
        <x:v>2026-01-19</x:v>
      </x:c>
      <x:c r="D87" s="34" t="str">
        <x:v>مكائن سيف</x:v>
      </x:c>
      <x:c r="E87" s="33" t="str">
        <x:v>151</x:v>
      </x:c>
      <x:c r="F87" s="33" t="str">
        <x:v>DOC000147</x:v>
      </x:c>
      <x:c r="G87" s="34" t="str">
        <x:v>ASSET</x:v>
      </x:c>
      <x:c r="H87" s="34" t="str">
        <x:v>جهاز كبس سلفون</x:v>
      </x:c>
      <x:c r="I87" s="34" t="str">
        <x:v>EQUIPMENT</x:v>
      </x:c>
      <x:c r="J87" s="34" t="str"/>
      <x:c r="K87" s="34" t="str">
        <x:v>DOC000147-01</x:v>
      </x:c>
      <x:c r="L87" s="34" t="str">
        <x:v>Packaging equipment</x:v>
      </x:c>
      <x:c r="M87" s="36" t="n">
        <x:v>1</x:v>
      </x:c>
      <x:c r="N87" s="34" t="str">
        <x:v>piece</x:v>
      </x:c>
      <x:c r="O87" s="37" t="n">
        <x:v>150000</x:v>
      </x:c>
      <x:c r="P87" s="37" t="n">
        <x:v>150000</x:v>
      </x:c>
      <x:c r="Q87" s="37" t="str">
        <x:v>IQD</x:v>
      </x:c>
      <x:c r="R87" s="37" t="str"/>
      <x:c r="S87" s="37" t="n">
        <x:v>150000</x:v>
      </x:c>
      <x:c r="T87" s="37" t="n">
        <x:v>150000</x:v>
      </x:c>
      <x:c r="U87" s="34" t="str">
        <x:v>PAID</x:v>
      </x:c>
      <x:c r="V87" s="34" t="str">
        <x:v>Cash on Hands</x:v>
      </x:c>
      <x:c r="W87" s="34" t="str">
        <x:v>HQ</x:v>
      </x:c>
      <x:c r="X87" s="34" t="str">
        <x:v>Date inferred as 2026-01-19 from the supplier invoice sequence.</x:v>
      </x:c>
    </x:row>
    <x:row r="88">
      <x:c r="A88" s="33" t="str">
        <x:v>DOC000148</x:v>
      </x:c>
      <x:c r="B88" s="34" t="n">
        <x:v>1</x:v>
      </x:c>
      <x:c r="C88" s="35" t="str">
        <x:v>2026-04-06</x:v>
      </x:c>
      <x:c r="D88" s="34" t="str">
        <x:v>دكتور ريكلام</x:v>
      </x:c>
      <x:c r="E88" s="33" t="str">
        <x:v>164</x:v>
      </x:c>
      <x:c r="F88" s="33" t="str">
        <x:v>DOC000148</x:v>
      </x:c>
      <x:c r="G88" s="34" t="str">
        <x:v>INVENTORY</x:v>
      </x:c>
      <x:c r="H88" s="34" t="str">
        <x:v>كيس علاكة لوكو لهيب ورقي</x:v>
      </x:c>
      <x:c r="I88" s="34" t="str">
        <x:v>PACKAGING</x:v>
      </x:c>
      <x:c r="J88" s="34" t="str">
        <x:v>PACKAGING</x:v>
      </x:c>
      <x:c r="K88" s="34" t="str"/>
      <x:c r="L88" s="34" t="str"/>
      <x:c r="M88" s="36" t="n">
        <x:v>500</x:v>
      </x:c>
      <x:c r="N88" s="34" t="str">
        <x:v>piece</x:v>
      </x:c>
      <x:c r="O88" s="37" t="n">
        <x:v>370</x:v>
      </x:c>
      <x:c r="P88" s="37" t="n">
        <x:v>185000</x:v>
      </x:c>
      <x:c r="Q88" s="37" t="str">
        <x:v>IQD</x:v>
      </x:c>
      <x:c r="R88" s="37" t="str"/>
      <x:c r="S88" s="37" t="n">
        <x:v>185000</x:v>
      </x:c>
      <x:c r="T88" s="37" t="n">
        <x:v>185000</x:v>
      </x:c>
      <x:c r="U88" s="34" t="str">
        <x:v>PAID</x:v>
      </x:c>
      <x:c r="V88" s="34" t="str">
        <x:v>Cash on Hands</x:v>
      </x:c>
      <x:c r="W88" s="34" t="str">
        <x:v>HQ</x:v>
      </x:c>
      <x:c r="X88" s="34" t="str">
        <x:v>Date normalized from the workbook numeric cell to its visible day/month convention.</x:v>
      </x:c>
    </x:row>
    <x:row r="89">
      <x:c r="A89" s="33" t="str">
        <x:v>DOC000149</x:v>
      </x:c>
      <x:c r="B89" s="34" t="n">
        <x:v>1</x:v>
      </x:c>
      <x:c r="C89" s="35" t="str">
        <x:v>2026-04-27</x:v>
      </x:c>
      <x:c r="D89" s="34" t="str">
        <x:v>شركة ئافيستا</x:v>
      </x:c>
      <x:c r="E89" s="33" t="str">
        <x:v>464</x:v>
      </x:c>
      <x:c r="F89" s="33" t="str">
        <x:v>DOC000149</x:v>
      </x:c>
      <x:c r="G89" s="34" t="str">
        <x:v>EXPENSE</x:v>
      </x:c>
      <x:c r="H89" s="34" t="str">
        <x:v>طابعة حرارية كاشير</x:v>
      </x:c>
      <x:c r="I89" s="34" t="str">
        <x:v>TECH</x:v>
      </x:c>
      <x:c r="J89" s="34" t="str"/>
      <x:c r="K89" s="34" t="str"/>
      <x:c r="L89" s="34" t="str"/>
      <x:c r="M89" s="36" t="n">
        <x:v>1</x:v>
      </x:c>
      <x:c r="N89" s="34" t="str">
        <x:v>piece</x:v>
      </x:c>
      <x:c r="O89" s="37" t="n">
        <x:v>93000</x:v>
      </x:c>
      <x:c r="P89" s="37" t="n">
        <x:v>93000</x:v>
      </x:c>
      <x:c r="Q89" s="37" t="str">
        <x:v>IQD</x:v>
      </x:c>
      <x:c r="R89" s="37" t="str"/>
      <x:c r="S89" s="37" t="n">
        <x:v>93000</x:v>
      </x:c>
      <x:c r="T89" s="37" t="n">
        <x:v>93000</x:v>
      </x:c>
      <x:c r="U89" s="34" t="str">
        <x:v>PAID</x:v>
      </x:c>
      <x:c r="V89" s="34" t="str">
        <x:v>Cash on Hands</x:v>
      </x:c>
      <x:c r="W89" s="34" t="str">
        <x:v>HQ</x:v>
      </x:c>
      <x:c r="X89" s="34" t="str"/>
    </x:row>
    <x:row r="90">
      <x:c r="A90" s="33" t="str">
        <x:v>DOC000150</x:v>
      </x:c>
      <x:c r="B90" s="34" t="n">
        <x:v>1</x:v>
      </x:c>
      <x:c r="C90" s="35" t="str">
        <x:v>2026-04-27</x:v>
      </x:c>
      <x:c r="D90" s="34" t="str">
        <x:v>قرطاسية بيكس</x:v>
      </x:c>
      <x:c r="E90" s="33" t="str">
        <x:v>24</x:v>
      </x:c>
      <x:c r="F90" s="33" t="str">
        <x:v>DOC000150</x:v>
      </x:c>
      <x:c r="G90" s="34" t="str">
        <x:v>INVENTORY</x:v>
      </x:c>
      <x:c r="H90" s="34" t="str">
        <x:v>ورق ستيكر+ قاطعة يدوي</x:v>
      </x:c>
      <x:c r="I90" s="34" t="str">
        <x:v>PACKAGING</x:v>
      </x:c>
      <x:c r="J90" s="34" t="str">
        <x:v>PACKAGING</x:v>
      </x:c>
      <x:c r="K90" s="34" t="str"/>
      <x:c r="L90" s="34" t="str"/>
      <x:c r="M90" s="36" t="n">
        <x:v>3</x:v>
      </x:c>
      <x:c r="N90" s="34" t="str">
        <x:v>piece</x:v>
      </x:c>
      <x:c r="O90" s="37" t="n">
        <x:v>13333.333</x:v>
      </x:c>
      <x:c r="P90" s="37" t="n">
        <x:v>40000</x:v>
      </x:c>
      <x:c r="Q90" s="37" t="str">
        <x:v>IQD</x:v>
      </x:c>
      <x:c r="R90" s="37" t="str"/>
      <x:c r="S90" s="37" t="n">
        <x:v>40000</x:v>
      </x:c>
      <x:c r="T90" s="37" t="n">
        <x:v>40000</x:v>
      </x:c>
      <x:c r="U90" s="34" t="str">
        <x:v>PAID</x:v>
      </x:c>
      <x:c r="V90" s="34" t="str">
        <x:v>Cash on Hands</x:v>
      </x:c>
      <x:c r="W90" s="34" t="str">
        <x:v>HQ</x:v>
      </x:c>
      <x:c r="X90" s="34" t="str"/>
    </x:row>
    <x:row r="91">
      <x:c r="A91" s="33" t="str">
        <x:v>DOC000151</x:v>
      </x:c>
      <x:c r="B91" s="34" t="n">
        <x:v>1</x:v>
      </x:c>
      <x:c r="C91" s="35" t="str">
        <x:v>2026-04-28</x:v>
      </x:c>
      <x:c r="D91" s="34" t="str">
        <x:v>اسيا سيل</x:v>
      </x:c>
      <x:c r="E91" s="33" t="str">
        <x:v>PR2804202610430374</x:v>
      </x:c>
      <x:c r="F91" s="33" t="str">
        <x:v>DOC000151</x:v>
      </x:c>
      <x:c r="G91" s="34" t="str">
        <x:v>SERVICE</x:v>
      </x:c>
      <x:c r="H91" s="34" t="str">
        <x:v>اشتراك انترنت اسياسيل شهري للمحل</x:v>
      </x:c>
      <x:c r="I91" s="34" t="str">
        <x:v>UTILITIES</x:v>
      </x:c>
      <x:c r="J91" s="34" t="str"/>
      <x:c r="K91" s="34" t="str"/>
      <x:c r="L91" s="34" t="str"/>
      <x:c r="M91" s="36" t="n">
        <x:v>1</x:v>
      </x:c>
      <x:c r="N91" s="34" t="str">
        <x:v>piece</x:v>
      </x:c>
      <x:c r="O91" s="37" t="n">
        <x:v>40000</x:v>
      </x:c>
      <x:c r="P91" s="37" t="n">
        <x:v>40000</x:v>
      </x:c>
      <x:c r="Q91" s="37" t="str">
        <x:v>IQD</x:v>
      </x:c>
      <x:c r="R91" s="37" t="str"/>
      <x:c r="S91" s="37" t="n">
        <x:v>40000</x:v>
      </x:c>
      <x:c r="T91" s="37" t="n">
        <x:v>40000</x:v>
      </x:c>
      <x:c r="U91" s="34" t="str">
        <x:v>PAID</x:v>
      </x:c>
      <x:c r="V91" s="34" t="str">
        <x:v>Cash on Hands</x:v>
      </x:c>
      <x:c r="W91" s="34" t="str">
        <x:v>HQ</x:v>
      </x:c>
      <x:c r="X91" s="34" t="str"/>
    </x:row>
    <x:row r="92">
      <x:c r="A92" s="33" t="str">
        <x:v>DOC000152</x:v>
      </x:c>
      <x:c r="B92" s="34" t="n">
        <x:v>1</x:v>
      </x:c>
      <x:c r="C92" s="35" t="str">
        <x:v>2026-05-09</x:v>
      </x:c>
      <x:c r="D92" s="34" t="str">
        <x:v>جهى برا</x:v>
      </x:c>
      <x:c r="E92" s="33" t="str">
        <x:v>6544</x:v>
      </x:c>
      <x:c r="F92" s="33" t="str">
        <x:v>DOC000152</x:v>
      </x:c>
      <x:c r="G92" s="34" t="str">
        <x:v>EXPENSE</x:v>
      </x:c>
      <x:c r="H92" s="34" t="str">
        <x:v>سلة حديد فرز الشاف عن الحبوب</x:v>
      </x:c>
      <x:c r="I92" s="34" t="str">
        <x:v>EQUIPMENT</x:v>
      </x:c>
      <x:c r="J92" s="34" t="str"/>
      <x:c r="K92" s="34" t="str"/>
      <x:c r="L92" s="34" t="str"/>
      <x:c r="M92" s="36" t="n">
        <x:v>1</x:v>
      </x:c>
      <x:c r="N92" s="34" t="str">
        <x:v>piece</x:v>
      </x:c>
      <x:c r="O92" s="37" t="n">
        <x:v>7000</x:v>
      </x:c>
      <x:c r="P92" s="37" t="n">
        <x:v>7000</x:v>
      </x:c>
      <x:c r="Q92" s="37" t="str">
        <x:v>IQD</x:v>
      </x:c>
      <x:c r="R92" s="37" t="str"/>
      <x:c r="S92" s="37" t="n">
        <x:v>7000</x:v>
      </x:c>
      <x:c r="T92" s="37" t="n">
        <x:v>7000</x:v>
      </x:c>
      <x:c r="U92" s="34" t="str">
        <x:v>PAID</x:v>
      </x:c>
      <x:c r="V92" s="34" t="str">
        <x:v>Cash on Hands</x:v>
      </x:c>
      <x:c r="W92" s="34" t="str">
        <x:v>HQ</x:v>
      </x:c>
      <x:c r="X92" s="34" t="str">
        <x:v>Date normalized from the workbook numeric cell to its visible day/month convention.</x:v>
      </x:c>
    </x:row>
    <x:row r="93">
      <x:c r="A93" s="33" t="str">
        <x:v>DOC000153</x:v>
      </x:c>
      <x:c r="B93" s="34" t="n">
        <x:v>1</x:v>
      </x:c>
      <x:c r="C93" s="35" t="str">
        <x:v>2026-05-01</x:v>
      </x:c>
      <x:c r="D93" s="34" t="str">
        <x:v>علي للتكنلوجيا الحديثة</x:v>
      </x:c>
      <x:c r="E93" s="33" t="str">
        <x:v>8510</x:v>
      </x:c>
      <x:c r="F93" s="33" t="str">
        <x:v>DOC000153</x:v>
      </x:c>
      <x:c r="G93" s="34" t="str">
        <x:v>INVENTORY</x:v>
      </x:c>
      <x:c r="H93" s="34" t="str">
        <x:v>ليبل حراري لاصق 80*120</x:v>
      </x:c>
      <x:c r="I93" s="34" t="str">
        <x:v>PACKAGING</x:v>
      </x:c>
      <x:c r="J93" s="34" t="str">
        <x:v>PACKAGING</x:v>
      </x:c>
      <x:c r="K93" s="34" t="str"/>
      <x:c r="L93" s="34" t="str"/>
      <x:c r="M93" s="36" t="n">
        <x:v>1</x:v>
      </x:c>
      <x:c r="N93" s="34" t="str">
        <x:v>piece</x:v>
      </x:c>
      <x:c r="O93" s="37" t="n">
        <x:v>20000</x:v>
      </x:c>
      <x:c r="P93" s="37" t="n">
        <x:v>20000</x:v>
      </x:c>
      <x:c r="Q93" s="37" t="str">
        <x:v>IQD</x:v>
      </x:c>
      <x:c r="R93" s="37" t="str"/>
      <x:c r="S93" s="37" t="n">
        <x:v>20000</x:v>
      </x:c>
      <x:c r="T93" s="37" t="n">
        <x:v>20000</x:v>
      </x:c>
      <x:c r="U93" s="34" t="str">
        <x:v>PAID</x:v>
      </x:c>
      <x:c r="V93" s="34" t="str">
        <x:v>Cash on Hands</x:v>
      </x:c>
      <x:c r="W93" s="34" t="str">
        <x:v>HQ</x:v>
      </x:c>
      <x:c r="X93" s="34" t="str">
        <x:v>Date normalized from the workbook numeric cell to its visible day/month convention. Included fees allocated into item costs: اجور توصيل محافظات.</x:v>
      </x:c>
    </x:row>
    <x:row r="94">
      <x:c r="A94" s="33" t="str">
        <x:v>DOC000154</x:v>
      </x:c>
      <x:c r="B94" s="34" t="n">
        <x:v>1</x:v>
      </x:c>
      <x:c r="C94" s="35" t="str">
        <x:v>2026-05-06</x:v>
      </x:c>
      <x:c r="D94" s="34" t="str">
        <x:v>شيمال كروب</x:v>
      </x:c>
      <x:c r="E94" s="33" t="str">
        <x:v>60</x:v>
      </x:c>
      <x:c r="F94" s="33" t="str">
        <x:v>DOC000154</x:v>
      </x:c>
      <x:c r="G94" s="34" t="str">
        <x:v>SERVICE</x:v>
      </x:c>
      <x:c r="H94" s="34" t="str">
        <x:v>اجور نقل دولي اكياس تغليف اكياس التقطير</x:v>
      </x:c>
      <x:c r="I94" s="34" t="str">
        <x:v>SHIPPING</x:v>
      </x:c>
      <x:c r="J94" s="34" t="str"/>
      <x:c r="K94" s="34" t="str"/>
      <x:c r="L94" s="34" t="str"/>
      <x:c r="M94" s="36" t="n">
        <x:v>1</x:v>
      </x:c>
      <x:c r="N94" s="34" t="str">
        <x:v>piece</x:v>
      </x:c>
      <x:c r="O94" s="37" t="n">
        <x:v>240000</x:v>
      </x:c>
      <x:c r="P94" s="37" t="n">
        <x:v>240000</x:v>
      </x:c>
      <x:c r="Q94" s="37" t="str">
        <x:v>IQD</x:v>
      </x:c>
      <x:c r="R94" s="37" t="str"/>
      <x:c r="S94" s="37" t="n">
        <x:v>240000</x:v>
      </x:c>
      <x:c r="T94" s="37" t="n">
        <x:v>240000</x:v>
      </x:c>
      <x:c r="U94" s="34" t="str">
        <x:v>PAID</x:v>
      </x:c>
      <x:c r="V94" s="34" t="str">
        <x:v>Cash on Hands</x:v>
      </x:c>
      <x:c r="W94" s="34" t="str">
        <x:v>HQ</x:v>
      </x:c>
      <x:c r="X94" s="34" t="str">
        <x:v>Date normalized from the workbook numeric cell to its visible day/month convention.</x:v>
      </x:c>
    </x:row>
    <x:row r="95">
      <x:c r="A95" s="33" t="str">
        <x:v>DOC000155</x:v>
      </x:c>
      <x:c r="B95" s="34" t="n">
        <x:v>1</x:v>
      </x:c>
      <x:c r="C95" s="35" t="str">
        <x:v>2026-05-09</x:v>
      </x:c>
      <x:c r="D95" s="34" t="str">
        <x:v>سولو ستوديو</x:v>
      </x:c>
      <x:c r="E95" s="33" t="str">
        <x:v>بدون فاتورة</x:v>
      </x:c>
      <x:c r="F95" s="33" t="str">
        <x:v>DOC000155</x:v>
      </x:c>
      <x:c r="G95" s="34" t="str">
        <x:v>SERVICE</x:v>
      </x:c>
      <x:c r="H95" s="34" t="str">
        <x:v>دفعة ثانية اجور تصميم هوية لهيب</x:v>
      </x:c>
      <x:c r="I95" s="34" t="str">
        <x:v>MARKETING</x:v>
      </x:c>
      <x:c r="J95" s="34" t="str"/>
      <x:c r="K95" s="34" t="str"/>
      <x:c r="L95" s="34" t="str"/>
      <x:c r="M95" s="36" t="n">
        <x:v>1</x:v>
      </x:c>
      <x:c r="N95" s="34" t="str">
        <x:v>piece</x:v>
      </x:c>
      <x:c r="O95" s="37" t="n">
        <x:v>1000000</x:v>
      </x:c>
      <x:c r="P95" s="37" t="n">
        <x:v>1000000</x:v>
      </x:c>
      <x:c r="Q95" s="37" t="str">
        <x:v>IQD</x:v>
      </x:c>
      <x:c r="R95" s="37" t="str"/>
      <x:c r="S95" s="37" t="n">
        <x:v>1000000</x:v>
      </x:c>
      <x:c r="T95" s="37" t="n">
        <x:v>1000000</x:v>
      </x:c>
      <x:c r="U95" s="34" t="str">
        <x:v>PAID</x:v>
      </x:c>
      <x:c r="V95" s="34" t="str">
        <x:v>Cash on Hands</x:v>
      </x:c>
      <x:c r="W95" s="34" t="str">
        <x:v>HQ</x:v>
      </x:c>
      <x:c r="X95" s="34" t="str">
        <x:v>Date normalized from the workbook numeric cell to its visible day/month convention.</x:v>
      </x:c>
    </x:row>
    <x:row r="96">
      <x:c r="A96" s="33" t="str">
        <x:v>DOC000156</x:v>
      </x:c>
      <x:c r="B96" s="34" t="n">
        <x:v>1</x:v>
      </x:c>
      <x:c r="C96" s="35" t="str">
        <x:v>2026-04-30</x:v>
      </x:c>
      <x:c r="D96" s="34" t="str">
        <x:v>كوكل</x:v>
      </x:c>
      <x:c r="E96" s="33" t="str">
        <x:v>5559634697</x:v>
      </x:c>
      <x:c r="F96" s="33" t="str">
        <x:v>DOC000156</x:v>
      </x:c>
      <x:c r="G96" s="34" t="str">
        <x:v>SERVICE</x:v>
      </x:c>
      <x:c r="H96" s="34" t="str">
        <x:v>اشتراك شهري بريد الكتروني</x:v>
      </x:c>
      <x:c r="I96" s="34" t="str">
        <x:v>TECH</x:v>
      </x:c>
      <x:c r="J96" s="34" t="str"/>
      <x:c r="K96" s="34" t="str"/>
      <x:c r="L96" s="34" t="str"/>
      <x:c r="M96" s="36" t="n">
        <x:v>1</x:v>
      </x:c>
      <x:c r="N96" s="34" t="str">
        <x:v>piece</x:v>
      </x:c>
      <x:c r="O96" s="37" t="n">
        <x:v>6.3</x:v>
      </x:c>
      <x:c r="P96" s="37" t="n">
        <x:v>6.3</x:v>
      </x:c>
      <x:c r="Q96" s="37" t="str">
        <x:v>USD</x:v>
      </x:c>
      <x:c r="R96" s="37" t="n">
        <x:v>1340</x:v>
      </x:c>
      <x:c r="S96" s="37" t="n">
        <x:v>8442</x:v>
      </x:c>
      <x:c r="T96" s="37" t="n">
        <x:v>8442</x:v>
      </x:c>
      <x:c r="U96" s="34" t="str">
        <x:v>PAID</x:v>
      </x:c>
      <x:c r="V96" s="34" t="str">
        <x:v>Cash on Hands</x:v>
      </x:c>
      <x:c r="W96" s="34" t="str">
        <x:v>HQ</x:v>
      </x:c>
      <x:c r="X96" s="34" t="str">
        <x:v>Invoice total controls; source detail sum was 6.3.</x:v>
      </x:c>
    </x:row>
    <x:row r="97">
      <x:c r="A97" s="33" t="str">
        <x:v>DOC000157</x:v>
      </x:c>
      <x:c r="B97" s="34" t="n">
        <x:v>1</x:v>
      </x:c>
      <x:c r="C97" s="35" t="str">
        <x:v>2026-05-13</x:v>
      </x:c>
      <x:c r="D97" s="34" t="str">
        <x:v>قهوة السرحان</x:v>
      </x:c>
      <x:c r="E97" s="33" t="str">
        <x:v>253</x:v>
      </x:c>
      <x:c r="F97" s="33" t="str">
        <x:v>DOC000157</x:v>
      </x:c>
      <x:c r="G97" s="34" t="str">
        <x:v>ASSET</x:v>
      </x:c>
      <x:c r="H97" s="34" t="str">
        <x:v>طاحونة قهوة سورية نحاس</x:v>
      </x:c>
      <x:c r="I97" s="34" t="str">
        <x:v>EQUIPMENT</x:v>
      </x:c>
      <x:c r="J97" s="34" t="str"/>
      <x:c r="K97" s="34" t="str">
        <x:v>DOC000157-01</x:v>
      </x:c>
      <x:c r="L97" s="34" t="str">
        <x:v>Coffee equipment</x:v>
      </x:c>
      <x:c r="M97" s="36" t="n">
        <x:v>1</x:v>
      </x:c>
      <x:c r="N97" s="34" t="str">
        <x:v>piece</x:v>
      </x:c>
      <x:c r="O97" s="37" t="n">
        <x:v>750000</x:v>
      </x:c>
      <x:c r="P97" s="37" t="n">
        <x:v>750000</x:v>
      </x:c>
      <x:c r="Q97" s="37" t="str">
        <x:v>IQD</x:v>
      </x:c>
      <x:c r="R97" s="37" t="str"/>
      <x:c r="S97" s="37" t="n">
        <x:v>750000</x:v>
      </x:c>
      <x:c r="T97" s="37" t="n">
        <x:v>750000</x:v>
      </x:c>
      <x:c r="U97" s="34" t="str">
        <x:v>PAID</x:v>
      </x:c>
      <x:c r="V97" s="34" t="str">
        <x:v>Cash on Hands</x:v>
      </x:c>
      <x:c r="W97" s="34" t="str">
        <x:v>HQ</x:v>
      </x:c>
      <x:c r="X97" s="34" t="str"/>
    </x:row>
    <x:row r="98">
      <x:c r="A98" s="33" t="str">
        <x:v>DOC000158</x:v>
      </x:c>
      <x:c r="B98" s="34" t="n">
        <x:v>1</x:v>
      </x:c>
      <x:c r="C98" s="35" t="str">
        <x:v>2026-05-14</x:v>
      </x:c>
      <x:c r="D98" s="34" t="str">
        <x:v>عقارات نعمان عولا حاجى</x:v>
      </x:c>
      <x:c r="E98" s="33" t="str">
        <x:v>869</x:v>
      </x:c>
      <x:c r="F98" s="33" t="str">
        <x:v>DOC000158</x:v>
      </x:c>
      <x:c r="G98" s="34" t="str">
        <x:v>SERVICE</x:v>
      </x:c>
      <x:c r="H98" s="34" t="str">
        <x:v>دفع ايجار المحل</x:v>
      </x:c>
      <x:c r="I98" s="34" t="str">
        <x:v>RENT</x:v>
      </x:c>
      <x:c r="J98" s="34" t="str"/>
      <x:c r="K98" s="34" t="str"/>
      <x:c r="L98" s="34" t="str"/>
      <x:c r="M98" s="36" t="n">
        <x:v>1</x:v>
      </x:c>
      <x:c r="N98" s="34" t="str">
        <x:v>piece</x:v>
      </x:c>
      <x:c r="O98" s="37" t="n">
        <x:v>200000</x:v>
      </x:c>
      <x:c r="P98" s="37" t="n">
        <x:v>200000</x:v>
      </x:c>
      <x:c r="Q98" s="37" t="str">
        <x:v>IQD</x:v>
      </x:c>
      <x:c r="R98" s="37" t="str"/>
      <x:c r="S98" s="37" t="n">
        <x:v>200000</x:v>
      </x:c>
      <x:c r="T98" s="37" t="n">
        <x:v>200000</x:v>
      </x:c>
      <x:c r="U98" s="34" t="str">
        <x:v>PAID</x:v>
      </x:c>
      <x:c r="V98" s="34" t="str">
        <x:v>Cash on Hands</x:v>
      </x:c>
      <x:c r="W98" s="34" t="str">
        <x:v>HQ</x:v>
      </x:c>
      <x:c r="X98" s="34" t="str"/>
    </x:row>
    <x:row r="99">
      <x:c r="A99" s="33" t="str">
        <x:v>DOC000159</x:v>
      </x:c>
      <x:c r="B99" s="34" t="n">
        <x:v>1</x:v>
      </x:c>
      <x:c r="C99" s="35" t="str">
        <x:v>2026-05-15</x:v>
      </x:c>
      <x:c r="D99" s="34" t="str">
        <x:v>عقارات جراى زين</x:v>
      </x:c>
      <x:c r="E99" s="33" t="str">
        <x:v>7</x:v>
      </x:c>
      <x:c r="F99" s="33" t="str">
        <x:v>DOC000159</x:v>
      </x:c>
      <x:c r="G99" s="34" t="str">
        <x:v>SERVICE</x:v>
      </x:c>
      <x:c r="H99" s="34" t="str">
        <x:v>دفع تأمينات مع دلالية محل رقم 61</x:v>
      </x:c>
      <x:c r="I99" s="34" t="str">
        <x:v>RENT</x:v>
      </x:c>
      <x:c r="J99" s="34" t="str"/>
      <x:c r="K99" s="34" t="str"/>
      <x:c r="L99" s="34" t="str"/>
      <x:c r="M99" s="36" t="n">
        <x:v>1</x:v>
      </x:c>
      <x:c r="N99" s="34" t="str">
        <x:v>piece</x:v>
      </x:c>
      <x:c r="O99" s="37" t="n">
        <x:v>375000</x:v>
      </x:c>
      <x:c r="P99" s="37" t="n">
        <x:v>375000</x:v>
      </x:c>
      <x:c r="Q99" s="37" t="str">
        <x:v>IQD</x:v>
      </x:c>
      <x:c r="R99" s="37" t="str"/>
      <x:c r="S99" s="37" t="n">
        <x:v>375000</x:v>
      </x:c>
      <x:c r="T99" s="37" t="n">
        <x:v>375000</x:v>
      </x:c>
      <x:c r="U99" s="34" t="str">
        <x:v>PAID</x:v>
      </x:c>
      <x:c r="V99" s="34" t="str">
        <x:v>Cash on Hands</x:v>
      </x:c>
      <x:c r="W99" s="34" t="str">
        <x:v>HQ</x:v>
      </x:c>
      <x:c r="X99" s="34" t="str"/>
    </x:row>
    <x:row r="100">
      <x:c r="A100" s="33" t="str">
        <x:v>DOC000160</x:v>
      </x:c>
      <x:c r="B100" s="34" t="n">
        <x:v>1</x:v>
      </x:c>
      <x:c r="C100" s="35" t="str">
        <x:v>2026-05-15</x:v>
      </x:c>
      <x:c r="D100" s="34" t="str">
        <x:v>شوشه واتى مالى زه نكين</x:v>
      </x:c>
      <x:c r="E100" s="33" t="str">
        <x:v>7</x:v>
      </x:c>
      <x:c r="F100" s="33" t="str">
        <x:v>DOC000160</x:v>
      </x:c>
      <x:c r="G100" s="34" t="str">
        <x:v>EXPENSE</x:v>
      </x:c>
      <x:c r="H100" s="34" t="str">
        <x:v>طاحونة هيل 150 واط</x:v>
      </x:c>
      <x:c r="I100" s="34" t="str">
        <x:v>EQUIPMENT</x:v>
      </x:c>
      <x:c r="J100" s="34" t="str"/>
      <x:c r="K100" s="34" t="str"/>
      <x:c r="L100" s="34" t="str"/>
      <x:c r="M100" s="36" t="n">
        <x:v>1</x:v>
      </x:c>
      <x:c r="N100" s="34" t="str">
        <x:v>piece</x:v>
      </x:c>
      <x:c r="O100" s="37" t="n">
        <x:v>30000</x:v>
      </x:c>
      <x:c r="P100" s="37" t="n">
        <x:v>30000</x:v>
      </x:c>
      <x:c r="Q100" s="37" t="str">
        <x:v>IQD</x:v>
      </x:c>
      <x:c r="R100" s="37" t="str"/>
      <x:c r="S100" s="37" t="n">
        <x:v>30000</x:v>
      </x:c>
      <x:c r="T100" s="37" t="n">
        <x:v>30000</x:v>
      </x:c>
      <x:c r="U100" s="34" t="str">
        <x:v>PAID</x:v>
      </x:c>
      <x:c r="V100" s="34" t="str">
        <x:v>Cash on Hands</x:v>
      </x:c>
      <x:c r="W100" s="34" t="str">
        <x:v>HQ</x:v>
      </x:c>
      <x:c r="X100" s="34" t="str"/>
    </x:row>
    <x:row r="101">
      <x:c r="A101" s="33" t="str">
        <x:v>DOC000161</x:v>
      </x:c>
      <x:c r="B101" s="34" t="n">
        <x:v>1</x:v>
      </x:c>
      <x:c r="C101" s="35" t="str">
        <x:v>2026-05-14</x:v>
      </x:c>
      <x:c r="D101" s="34" t="str">
        <x:v>حذيفة عماد</x:v>
      </x:c>
      <x:c r="E101" s="33" t="str">
        <x:v>470</x:v>
      </x:c>
      <x:c r="F101" s="33" t="str">
        <x:v>DOC000161</x:v>
      </x:c>
      <x:c r="G101" s="34" t="str">
        <x:v>INVENTORY</x:v>
      </x:c>
      <x:c r="H101" s="34" t="str">
        <x:v>هيل للطحن MYQ</x:v>
      </x:c>
      <x:c r="I101" s="34" t="str">
        <x:v>OVERHEAD</x:v>
      </x:c>
      <x:c r="J101" s="34" t="str">
        <x:v>PRODUCTION_SUPPLY</x:v>
      </x:c>
      <x:c r="K101" s="34" t="str"/>
      <x:c r="L101" s="34" t="str"/>
      <x:c r="M101" s="36" t="n">
        <x:v>5</x:v>
      </x:c>
      <x:c r="N101" s="34" t="str">
        <x:v>kg</x:v>
      </x:c>
      <x:c r="O101" s="37" t="n">
        <x:v>40000</x:v>
      </x:c>
      <x:c r="P101" s="37" t="n">
        <x:v>200000</x:v>
      </x:c>
      <x:c r="Q101" s="37" t="str">
        <x:v>IQD</x:v>
      </x:c>
      <x:c r="R101" s="37" t="str"/>
      <x:c r="S101" s="37" t="n">
        <x:v>200000</x:v>
      </x:c>
      <x:c r="T101" s="37" t="n">
        <x:v>206000</x:v>
      </x:c>
      <x:c r="U101" s="34" t="str">
        <x:v>PAID</x:v>
      </x:c>
      <x:c r="V101" s="34" t="str">
        <x:v>Cash on Hands</x:v>
      </x:c>
      <x:c r="W101" s="34" t="str">
        <x:v>HQ</x:v>
      </x:c>
      <x:c r="X101" s="34" t="str"/>
    </x:row>
    <x:row r="102">
      <x:c r="A102" s="33" t="str">
        <x:v>DOC000161</x:v>
      </x:c>
      <x:c r="B102" s="34" t="n">
        <x:v>2</x:v>
      </x:c>
      <x:c r="C102" s="35" t="str">
        <x:v>2026-05-14</x:v>
      </x:c>
      <x:c r="D102" s="34" t="str">
        <x:v>حذيفة عماد</x:v>
      </x:c>
      <x:c r="E102" s="33" t="str">
        <x:v>470</x:v>
      </x:c>
      <x:c r="F102" s="33" t="str">
        <x:v>DOC000161</x:v>
      </x:c>
      <x:c r="G102" s="34" t="str">
        <x:v>EXPENSE</x:v>
      </x:c>
      <x:c r="H102" s="34" t="str">
        <x:v>مكيالة ستنلس ستيل</x:v>
      </x:c>
      <x:c r="I102" s="34" t="str">
        <x:v>EQUIPMENT</x:v>
      </x:c>
      <x:c r="J102" s="34" t="str"/>
      <x:c r="K102" s="34" t="str"/>
      <x:c r="L102" s="34" t="str"/>
      <x:c r="M102" s="36" t="n">
        <x:v>1</x:v>
      </x:c>
      <x:c r="N102" s="34" t="str">
        <x:v>piece</x:v>
      </x:c>
      <x:c r="O102" s="37" t="n">
        <x:v>6000</x:v>
      </x:c>
      <x:c r="P102" s="37" t="n">
        <x:v>6000</x:v>
      </x:c>
      <x:c r="Q102" s="37" t="str">
        <x:v>IQD</x:v>
      </x:c>
      <x:c r="R102" s="37" t="str"/>
      <x:c r="S102" s="37" t="n">
        <x:v>6000</x:v>
      </x:c>
      <x:c r="T102" s="37" t="n">
        <x:v>206000</x:v>
      </x:c>
      <x:c r="U102" s="34" t="str">
        <x:v>PAID</x:v>
      </x:c>
      <x:c r="V102" s="34" t="str">
        <x:v>Cash on Hands</x:v>
      </x:c>
      <x:c r="W102" s="34" t="str">
        <x:v>HQ</x:v>
      </x:c>
      <x:c r="X102" s="34" t="str"/>
    </x:row>
    <x:row r="103">
      <x:c r="A103" s="33" t="str">
        <x:v>DOC000162</x:v>
      </x:c>
      <x:c r="B103" s="34" t="n">
        <x:v>1</x:v>
      </x:c>
      <x:c r="C103" s="35" t="str">
        <x:v>2026-05-25</x:v>
      </x:c>
      <x:c r="D103" s="34" t="str">
        <x:v>نجيرفان ماموستيان</x:v>
      </x:c>
      <x:c r="E103" s="33" t="str">
        <x:v>بدون فاتورة</x:v>
      </x:c>
      <x:c r="F103" s="33" t="str">
        <x:v>DOC000162</x:v>
      </x:c>
      <x:c r="G103" s="34" t="str">
        <x:v>ASSET</x:v>
      </x:c>
      <x:c r="H103" s="34" t="str">
        <x:v>محمصة كاليدو ام 10</x:v>
      </x:c>
      <x:c r="I103" s="34" t="str">
        <x:v>EQUIPMENT</x:v>
      </x:c>
      <x:c r="J103" s="34" t="str"/>
      <x:c r="K103" s="34" t="str">
        <x:v>KALDI-M10</x:v>
      </x:c>
      <x:c r="L103" s="34" t="str">
        <x:v>Production equipment</x:v>
      </x:c>
      <x:c r="M103" s="36" t="n">
        <x:v>1</x:v>
      </x:c>
      <x:c r="N103" s="34" t="str">
        <x:v>piece</x:v>
      </x:c>
      <x:c r="O103" s="37" t="n">
        <x:v>1000</x:v>
      </x:c>
      <x:c r="P103" s="37" t="n">
        <x:v>1000</x:v>
      </x:c>
      <x:c r="Q103" s="37" t="str">
        <x:v>USD</x:v>
      </x:c>
      <x:c r="R103" s="37" t="n">
        <x:v>1531</x:v>
      </x:c>
      <x:c r="S103" s="37" t="n">
        <x:v>1531000</x:v>
      </x:c>
      <x:c r="T103" s="37" t="n">
        <x:v>1531000</x:v>
      </x:c>
      <x:c r="U103" s="34" t="str">
        <x:v>PAID</x:v>
      </x:c>
      <x:c r="V103" s="34" t="str">
        <x:v>Cash on Hands</x:v>
      </x:c>
      <x:c r="W103" s="34" t="str">
        <x:v>HQ</x:v>
      </x:c>
      <x:c r="X103" s="34" t="str">
        <x:v>Invoice total controls; source detail sum was 1000.</x:v>
      </x:c>
    </x:row>
    <x:row r="104">
      <x:c r="A104" s="33" t="str">
        <x:v>DOC000163</x:v>
      </x:c>
      <x:c r="B104" s="34" t="n">
        <x:v>1</x:v>
      </x:c>
      <x:c r="C104" s="35" t="str">
        <x:v>2026-06-04</x:v>
      </x:c>
      <x:c r="D104" s="34" t="str">
        <x:v>اوس اكثم</x:v>
      </x:c>
      <x:c r="E104" s="33" t="str">
        <x:v>1551</x:v>
      </x:c>
      <x:c r="F104" s="33" t="str">
        <x:v>DOC000163</x:v>
      </x:c>
      <x:c r="G104" s="34" t="str">
        <x:v>ASSET</x:v>
      </x:c>
      <x:c r="H104" s="34" t="str">
        <x:v>هولدر كوب ورقي</x:v>
      </x:c>
      <x:c r="I104" s="34" t="str">
        <x:v>EQUIPMENT</x:v>
      </x:c>
      <x:c r="J104" s="34" t="str"/>
      <x:c r="K104" s="34" t="str">
        <x:v>DOC000163-01</x:v>
      </x:c>
      <x:c r="L104" s="34" t="str">
        <x:v>Furniture &amp; fixtures</x:v>
      </x:c>
      <x:c r="M104" s="36" t="n">
        <x:v>1</x:v>
      </x:c>
      <x:c r="N104" s="34" t="str">
        <x:v>piece</x:v>
      </x:c>
      <x:c r="O104" s="37" t="n">
        <x:v>840000</x:v>
      </x:c>
      <x:c r="P104" s="37" t="n">
        <x:v>840000</x:v>
      </x:c>
      <x:c r="Q104" s="37" t="str">
        <x:v>IQD</x:v>
      </x:c>
      <x:c r="R104" s="37" t="str"/>
      <x:c r="S104" s="37" t="n">
        <x:v>840000</x:v>
      </x:c>
      <x:c r="T104" s="37" t="n">
        <x:v>840000</x:v>
      </x:c>
      <x:c r="U104" s="34" t="str">
        <x:v>PAID</x:v>
      </x:c>
      <x:c r="V104" s="34" t="str">
        <x:v>Cash on Hands</x:v>
      </x:c>
      <x:c r="W104" s="34" t="str">
        <x:v>HQ</x:v>
      </x:c>
      <x:c r="X104" s="34" t="str">
        <x:v>Date normalized from the workbook numeric cell to its visible day/month convention.</x:v>
      </x:c>
    </x:row>
    <x:row r="105">
      <x:c r="A105" s="33" t="str">
        <x:v>DOC000164</x:v>
      </x:c>
      <x:c r="B105" s="34" t="n">
        <x:v>1</x:v>
      </x:c>
      <x:c r="C105" s="35" t="str">
        <x:v>2026-06-10</x:v>
      </x:c>
      <x:c r="D105" s="34" t="str">
        <x:v>ابو مصطفى</x:v>
      </x:c>
      <x:c r="E105" s="33" t="str">
        <x:v>بدون فاتورة</x:v>
      </x:c>
      <x:c r="F105" s="33" t="str">
        <x:v>DOC000164</x:v>
      </x:c>
      <x:c r="G105" s="34" t="str">
        <x:v>EXPENSE</x:v>
      </x:c>
      <x:c r="H105" s="34" t="str">
        <x:v>عمل ساحبة هواء للمحمصة</x:v>
      </x:c>
      <x:c r="I105" s="34" t="str">
        <x:v>MAINTENANCE</x:v>
      </x:c>
      <x:c r="J105" s="34" t="str"/>
      <x:c r="K105" s="34" t="str"/>
      <x:c r="L105" s="34" t="str"/>
      <x:c r="M105" s="36" t="n">
        <x:v>1</x:v>
      </x:c>
      <x:c r="N105" s="34" t="str">
        <x:v>piece</x:v>
      </x:c>
      <x:c r="O105" s="37" t="n">
        <x:v>50000</x:v>
      </x:c>
      <x:c r="P105" s="37" t="n">
        <x:v>50000</x:v>
      </x:c>
      <x:c r="Q105" s="37" t="str">
        <x:v>IQD</x:v>
      </x:c>
      <x:c r="R105" s="37" t="str"/>
      <x:c r="S105" s="37" t="n">
        <x:v>50000</x:v>
      </x:c>
      <x:c r="T105" s="37" t="n">
        <x:v>50000</x:v>
      </x:c>
      <x:c r="U105" s="34" t="str">
        <x:v>PAID</x:v>
      </x:c>
      <x:c r="V105" s="34" t="str">
        <x:v>Cash on Hands</x:v>
      </x:c>
      <x:c r="W105" s="34" t="str">
        <x:v>HQ</x:v>
      </x:c>
      <x:c r="X105" s="34" t="str">
        <x:v>Date normalized from the workbook numeric cell to its visible day/month convention.</x:v>
      </x:c>
    </x:row>
    <x:row r="106">
      <x:c r="A106" s="33" t="str">
        <x:v>DOC000165</x:v>
      </x:c>
      <x:c r="B106" s="34" t="n">
        <x:v>1</x:v>
      </x:c>
      <x:c r="C106" s="35" t="str">
        <x:v>2026-06-10</x:v>
      </x:c>
      <x:c r="D106" s="34" t="str">
        <x:v>عقارات نعمان عولا حاجى</x:v>
      </x:c>
      <x:c r="E106" s="33" t="str">
        <x:v>NO-INVOICE-DOC000165</x:v>
      </x:c>
      <x:c r="F106" s="33" t="str">
        <x:v>DOC000165</x:v>
      </x:c>
      <x:c r="G106" s="34" t="str">
        <x:v>SERVICE</x:v>
      </x:c>
      <x:c r="H106" s="34" t="str">
        <x:v>دفع ايجار المحل</x:v>
      </x:c>
      <x:c r="I106" s="34" t="str">
        <x:v>RENT</x:v>
      </x:c>
      <x:c r="J106" s="34" t="str"/>
      <x:c r="K106" s="34" t="str"/>
      <x:c r="L106" s="34" t="str"/>
      <x:c r="M106" s="36" t="n">
        <x:v>1</x:v>
      </x:c>
      <x:c r="N106" s="34" t="str">
        <x:v>piece</x:v>
      </x:c>
      <x:c r="O106" s="37" t="n">
        <x:v>200000</x:v>
      </x:c>
      <x:c r="P106" s="37" t="n">
        <x:v>200000</x:v>
      </x:c>
      <x:c r="Q106" s="37" t="str">
        <x:v>IQD</x:v>
      </x:c>
      <x:c r="R106" s="37" t="str"/>
      <x:c r="S106" s="37" t="n">
        <x:v>200000</x:v>
      </x:c>
      <x:c r="T106" s="37" t="n">
        <x:v>200000</x:v>
      </x:c>
      <x:c r="U106" s="34" t="str">
        <x:v>PAID</x:v>
      </x:c>
      <x:c r="V106" s="34" t="str">
        <x:v>Cash on Hands</x:v>
      </x:c>
      <x:c r="W106" s="34" t="str">
        <x:v>HQ</x:v>
      </x:c>
      <x:c r="X106" s="34" t="str">
        <x:v>Date normalized from the workbook numeric cell to its visible day/month convention.</x:v>
      </x:c>
    </x:row>
    <x:row r="107">
      <x:c r="A107" s="33" t="str">
        <x:v>DOC000166</x:v>
      </x:c>
      <x:c r="B107" s="34" t="n">
        <x:v>1</x:v>
      </x:c>
      <x:c r="C107" s="35" t="str">
        <x:v>2026-06-09</x:v>
      </x:c>
      <x:c r="D107" s="34" t="str">
        <x:v>اسيا سيل</x:v>
      </x:c>
      <x:c r="E107" s="33" t="str">
        <x:v>NO-INVOICE-DOC000166</x:v>
      </x:c>
      <x:c r="F107" s="33" t="str">
        <x:v>DOC000166</x:v>
      </x:c>
      <x:c r="G107" s="34" t="str">
        <x:v>SERVICE</x:v>
      </x:c>
      <x:c r="H107" s="34" t="str">
        <x:v>شراء سيم كارد</x:v>
      </x:c>
      <x:c r="I107" s="34" t="str">
        <x:v>UTILITIES</x:v>
      </x:c>
      <x:c r="J107" s="34" t="str"/>
      <x:c r="K107" s="34" t="str"/>
      <x:c r="L107" s="34" t="str"/>
      <x:c r="M107" s="36" t="n">
        <x:v>1</x:v>
      </x:c>
      <x:c r="N107" s="34" t="str">
        <x:v>piece</x:v>
      </x:c>
      <x:c r="O107" s="37" t="n">
        <x:v>23000</x:v>
      </x:c>
      <x:c r="P107" s="37" t="n">
        <x:v>23000</x:v>
      </x:c>
      <x:c r="Q107" s="37" t="str">
        <x:v>IQD</x:v>
      </x:c>
      <x:c r="R107" s="37" t="str"/>
      <x:c r="S107" s="37" t="n">
        <x:v>23000</x:v>
      </x:c>
      <x:c r="T107" s="37" t="n">
        <x:v>23000</x:v>
      </x:c>
      <x:c r="U107" s="34" t="str">
        <x:v>PAID</x:v>
      </x:c>
      <x:c r="V107" s="34" t="str">
        <x:v>Cash on Hands</x:v>
      </x:c>
      <x:c r="W107" s="34" t="str">
        <x:v>HQ</x:v>
      </x:c>
      <x:c r="X107" s="34" t="str">
        <x:v>Date normalized from the workbook numeric cell to its visible day/month convention.</x:v>
      </x:c>
    </x:row>
    <x:row r="108">
      <x:c r="A108" s="33" t="str">
        <x:v>DOC000167</x:v>
      </x:c>
      <x:c r="B108" s="34" t="n">
        <x:v>1</x:v>
      </x:c>
      <x:c r="C108" s="35" t="str">
        <x:v>2026-06-09</x:v>
      </x:c>
      <x:c r="D108" s="34" t="str">
        <x:v>عقارات جراى زين</x:v>
      </x:c>
      <x:c r="E108" s="33" t="str">
        <x:v>NO-INVOICE-DOC000167</x:v>
      </x:c>
      <x:c r="F108" s="33" t="str">
        <x:v>DOC000167</x:v>
      </x:c>
      <x:c r="G108" s="34" t="str">
        <x:v>SERVICE</x:v>
      </x:c>
      <x:c r="H108" s="34" t="str">
        <x:v>دفع ايجار المحل</x:v>
      </x:c>
      <x:c r="I108" s="34" t="str">
        <x:v>RENT</x:v>
      </x:c>
      <x:c r="J108" s="34" t="str"/>
      <x:c r="K108" s="34" t="str"/>
      <x:c r="L108" s="34" t="str"/>
      <x:c r="M108" s="36" t="n">
        <x:v>1</x:v>
      </x:c>
      <x:c r="N108" s="34" t="str">
        <x:v>piece</x:v>
      </x:c>
      <x:c r="O108" s="37" t="n">
        <x:v>250000</x:v>
      </x:c>
      <x:c r="P108" s="37" t="n">
        <x:v>250000</x:v>
      </x:c>
      <x:c r="Q108" s="37" t="str">
        <x:v>IQD</x:v>
      </x:c>
      <x:c r="R108" s="37" t="str"/>
      <x:c r="S108" s="37" t="n">
        <x:v>250000</x:v>
      </x:c>
      <x:c r="T108" s="37" t="n">
        <x:v>250000</x:v>
      </x:c>
      <x:c r="U108" s="34" t="str">
        <x:v>PAID</x:v>
      </x:c>
      <x:c r="V108" s="34" t="str">
        <x:v>Cash on Hands</x:v>
      </x:c>
      <x:c r="W108" s="34" t="str">
        <x:v>HQ</x:v>
      </x:c>
      <x:c r="X108" s="34" t="str">
        <x:v>Date normalized from the workbook numeric cell to its visible day/month convention.</x:v>
      </x:c>
    </x:row>
    <x:row r="109">
      <x:c r="A109" s="33" t="str">
        <x:v>DOC000168</x:v>
      </x:c>
      <x:c r="B109" s="34" t="n">
        <x:v>1</x:v>
      </x:c>
      <x:c r="C109" s="35" t="str">
        <x:v>2026-06-15</x:v>
      </x:c>
      <x:c r="D109" s="34" t="str">
        <x:v>نجيرفان ماموستيان</x:v>
      </x:c>
      <x:c r="E109" s="33" t="str">
        <x:v>بدون فاتورة</x:v>
      </x:c>
      <x:c r="F109" s="33" t="str">
        <x:v>DOC000168</x:v>
      </x:c>
      <x:c r="G109" s="34" t="str">
        <x:v>ASSET</x:v>
      </x:c>
      <x:c r="H109" s="34" t="str">
        <x:v>محمصة كاليدو ام 10</x:v>
      </x:c>
      <x:c r="I109" s="34" t="str">
        <x:v>EQUIPMENT</x:v>
      </x:c>
      <x:c r="J109" s="34" t="str"/>
      <x:c r="K109" s="34" t="str">
        <x:v>KALDI-M10</x:v>
      </x:c>
      <x:c r="L109" s="34" t="str">
        <x:v>Production equipment</x:v>
      </x:c>
      <x:c r="M109" s="36" t="n">
        <x:v>1</x:v>
      </x:c>
      <x:c r="N109" s="34" t="str">
        <x:v>piece</x:v>
      </x:c>
      <x:c r="O109" s="37" t="n">
        <x:v>3309000</x:v>
      </x:c>
      <x:c r="P109" s="37" t="n">
        <x:v>3309000</x:v>
      </x:c>
      <x:c r="Q109" s="37" t="str">
        <x:v>IQD</x:v>
      </x:c>
      <x:c r="R109" s="37" t="str"/>
      <x:c r="S109" s="37" t="n">
        <x:v>3309000</x:v>
      </x:c>
      <x:c r="T109" s="37" t="n">
        <x:v>3309000</x:v>
      </x:c>
      <x:c r="U109" s="34" t="str">
        <x:v>PAID</x:v>
      </x:c>
      <x:c r="V109" s="34" t="str">
        <x:v>Cash on Hands</x:v>
      </x:c>
      <x:c r="W109" s="34" t="str">
        <x:v>HQ</x:v>
      </x:c>
      <x:c r="X109" s="34" t="str"/>
    </x:row>
  </x:sheetData>
  <x:mergeCells>
    <x:mergeCell ref="A1:X1"/>
  </x:mergeCells>
  <x:pageMargins left="0.7" right="0.7" top="0.75" bottom="0.75" header="0.3" footer="0.3"/>
  <x:tableParts count="1">
    <x:tablePart xmlns:r="http://schemas.openxmlformats.org/officeDocument/2006/relationships" r:id="Re8c72fb5760648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4" customHeight="1">
      <x:c r="A1" s="3" t="str">
        <x:v>Ready to Import | Owner Contributions</x:v>
      </x:c>
      <x:c r="B1" s="3" t="str">
        <x:v>Ready to Import | Owner Contributions</x:v>
      </x:c>
      <x:c r="C1" s="3" t="str">
        <x:v>Ready to Import | Owner Contributions</x:v>
      </x:c>
      <x:c r="D1" s="3" t="str">
        <x:v>Ready to Import | Owner Contributions</x:v>
      </x:c>
      <x:c r="E1" s="3" t="str">
        <x:v>Ready to Import | Owner Contributions</x:v>
      </x:c>
      <x:c r="F1" s="3" t="str">
        <x:v>Ready to Import | Owner Contributions</x:v>
      </x:c>
      <x:c r="G1" s="3" t="str">
        <x:v>Ready to Import | Owner Contributions</x:v>
      </x:c>
    </x:row>
    <x:row r="2" ht="32" customHeight="1">
      <x:c r="A2" s="27" t="str">
        <x:v>shareholder</x:v>
      </x:c>
      <x:c r="B2" s="27" t="str">
        <x:v>amount</x:v>
      </x:c>
      <x:c r="C2" s="27" t="str">
        <x:v>date</x:v>
      </x:c>
      <x:c r="D2" s="27" t="str">
        <x:v>currency</x:v>
      </x:c>
      <x:c r="E2" s="27" t="str">
        <x:v>reference</x:v>
      </x:c>
      <x:c r="F2" s="27" t="str">
        <x:v>account</x:v>
      </x:c>
      <x:c r="G2" s="27" t="str">
        <x:v>branchCode</x:v>
      </x:c>
    </x:row>
    <x:row r="3">
      <x:c r="A3" s="34" t="str">
        <x:v>رحمة العاني</x:v>
      </x:c>
      <x:c r="B3" s="38" t="n">
        <x:v>6000000</x:v>
      </x:c>
      <x:c r="C3" s="35" t="str">
        <x:v>2025-01-01</x:v>
      </x:c>
      <x:c r="D3" s="34" t="str">
        <x:v>IQD</x:v>
      </x:c>
      <x:c r="E3" s="34" t="str">
        <x:v>HISTORICAL-CAPITAL</x:v>
      </x:c>
      <x:c r="F3" s="34" t="str">
        <x:v>Cash on Hands</x:v>
      </x:c>
      <x:c r="G3" s="34" t="str">
        <x:v>HQ</x:v>
      </x:c>
    </x:row>
    <x:row r="4">
      <x:c r="A4" s="34" t="str">
        <x:v>همام احمد</x:v>
      </x:c>
      <x:c r="B4" s="38" t="n">
        <x:v>165000</x:v>
      </x:c>
      <x:c r="C4" s="35" t="str">
        <x:v>2025-01-01</x:v>
      </x:c>
      <x:c r="D4" s="34" t="str">
        <x:v>IQD</x:v>
      </x:c>
      <x:c r="E4" s="34" t="str">
        <x:v>HISTORICAL-CAPITAL</x:v>
      </x:c>
      <x:c r="F4" s="34" t="str">
        <x:v>Cash on Hands</x:v>
      </x:c>
      <x:c r="G4" s="34" t="str">
        <x:v>HQ</x:v>
      </x:c>
    </x:row>
    <x:row r="5">
      <x:c r="A5" s="34" t="str">
        <x:v>مهند منجد</x:v>
      </x:c>
      <x:c r="B5" s="38" t="n">
        <x:v>19007895</x:v>
      </x:c>
      <x:c r="C5" s="35" t="str">
        <x:v>2025-01-01</x:v>
      </x:c>
      <x:c r="D5" s="34" t="str">
        <x:v>IQD</x:v>
      </x:c>
      <x:c r="E5" s="34" t="str">
        <x:v>HISTORICAL-CAPITAL</x:v>
      </x:c>
      <x:c r="F5" s="34" t="str">
        <x:v>Cash on Hands</x:v>
      </x:c>
      <x:c r="G5" s="34" t="str">
        <x:v>HQ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36e830887bc4e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31" hidden="0" customWidth="1"/>
    <x:col min="4" max="4" width="13" hidden="0" customWidth="1"/>
    <x:col min="5" max="5" width="13" hidden="0" customWidth="1"/>
    <x:col min="6" max="6" width="13" hidden="0" customWidth="1"/>
    <x:col min="7" max="7" width="25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54" hidden="0" customWidth="1"/>
  </x:cols>
  <x:sheetData>
    <x:row r="1" ht="34" customHeight="1">
      <x:c r="A1" s="3" t="str">
        <x:v>Source Audit | Every Original Row Accounted For</x:v>
      </x:c>
      <x:c r="B1" s="3" t="str">
        <x:v>Source Audit | Every Original Row Accounted For</x:v>
      </x:c>
      <x:c r="C1" s="3" t="str">
        <x:v>Source Audit | Every Original Row Accounted For</x:v>
      </x:c>
      <x:c r="D1" s="3" t="str">
        <x:v>Source Audit | Every Original Row Accounted For</x:v>
      </x:c>
      <x:c r="E1" s="3" t="str">
        <x:v>Source Audit | Every Original Row Accounted For</x:v>
      </x:c>
      <x:c r="F1" s="3" t="str">
        <x:v>Source Audit | Every Original Row Accounted For</x:v>
      </x:c>
      <x:c r="G1" s="3" t="str">
        <x:v>Source Audit | Every Original Row Accounted For</x:v>
      </x:c>
      <x:c r="H1" s="3" t="str">
        <x:v>Source Audit | Every Original Row Accounted For</x:v>
      </x:c>
      <x:c r="I1" s="3" t="str">
        <x:v>Source Audit | Every Original Row Accounted For</x:v>
      </x:c>
      <x:c r="J1" s="3" t="str">
        <x:v>Source Audit | Every Original Row Accounted For</x:v>
      </x:c>
      <x:c r="K1" s="3" t="str">
        <x:v>Source Audit | Every Original Row Accounted For</x:v>
      </x:c>
      <x:c r="L1" s="3" t="str">
        <x:v>Source Audit | Every Original Row Accounted For</x:v>
      </x:c>
      <x:c r="M1" s="3" t="str">
        <x:v>Source Audit | Every Original Row Accounted For</x:v>
      </x:c>
      <x:c r="N1" s="3" t="str">
        <x:v>Source Audit | Every Original Row Accounted For</x:v>
      </x:c>
      <x:c r="O1" s="3" t="str">
        <x:v>Source Audit | Every Original Row Accounted For</x:v>
      </x:c>
      <x:c r="P1" s="3" t="str">
        <x:v>Source Audit | Every Original Row Accounted For</x:v>
      </x:c>
      <x:c r="Q1" s="3" t="str">
        <x:v>Source Audit | Every Original Row Accounted For</x:v>
      </x:c>
      <x:c r="R1" s="3" t="str">
        <x:v>Source Audit | Every Original Row Accounted For</x:v>
      </x:c>
      <x:c r="S1" s="3" t="str">
        <x:v>Source Audit | Every Original Row Accounted For</x:v>
      </x:c>
    </x:row>
    <x:row r="2" ht="32" customHeight="1">
      <x:c r="A2" s="27" t="str">
        <x:v>sourceRow</x:v>
      </x:c>
      <x:c r="B2" s="27" t="str">
        <x:v>recordKey</x:v>
      </x:c>
      <x:c r="C2" s="27" t="str">
        <x:v>item</x:v>
      </x:c>
      <x:c r="D2" s="27" t="str">
        <x:v>quantity</x:v>
      </x:c>
      <x:c r="E2" s="27" t="str">
        <x:v>sourceUnitPrice</x:v>
      </x:c>
      <x:c r="F2" s="27" t="str">
        <x:v>sourceUnit</x:v>
      </x:c>
      <x:c r="G2" s="27" t="str">
        <x:v>supplier</x:v>
      </x:c>
      <x:c r="H2" s="27" t="str">
        <x:v>invoice</x:v>
      </x:c>
      <x:c r="I2" s="27" t="str">
        <x:v>sourceDate</x:v>
      </x:c>
      <x:c r="J2" s="27" t="str">
        <x:v>normalizedDate</x:v>
      </x:c>
      <x:c r="K2" s="27" t="str">
        <x:v>sourceCurrency</x:v>
      </x:c>
      <x:c r="L2" s="27" t="str">
        <x:v>sourceLineAmount</x:v>
      </x:c>
      <x:c r="M2" s="27" t="str">
        <x:v>sourceInvoiceTotalIqd</x:v>
      </x:c>
      <x:c r="N2" s="27" t="str">
        <x:v>decision</x:v>
      </x:c>
      <x:c r="O2" s="27" t="str">
        <x:v>itemType</x:v>
      </x:c>
      <x:c r="P2" s="27" t="str">
        <x:v>expenseCategory</x:v>
      </x:c>
      <x:c r="Q2" s="27" t="str">
        <x:v>inventoryCategory</x:v>
      </x:c>
      <x:c r="R2" s="27" t="str">
        <x:v>normalizedLineIqd</x:v>
      </x:c>
      <x:c r="S2" s="27" t="str">
        <x:v>notes</x:v>
      </x:c>
    </x:row>
    <x:row r="3">
      <x:c r="A3" s="33" t="n">
        <x:v>3</x:v>
      </x:c>
      <x:c r="B3" s="33" t="str">
        <x:v>DOC000100</x:v>
      </x:c>
      <x:c r="C3" s="34" t="str">
        <x:v>قهوة خام لقمتي اثيوبيا</x:v>
      </x:c>
      <x:c r="D3" s="34" t="n">
        <x:v>30</x:v>
      </x:c>
      <x:c r="E3" s="34" t="n">
        <x:v>10750</x:v>
      </x:c>
      <x:c r="F3" s="34" t="str">
        <x:v>كيلو</x:v>
      </x:c>
      <x:c r="G3" s="34" t="str">
        <x:v>بوابة الرافدين للبن الخام</x:v>
      </x:c>
      <x:c r="H3" s="33" t="str">
        <x:v>1572308</x:v>
      </x:c>
      <x:c r="I3" s="33" t="str">
        <x:v>2026-03-15</x:v>
      </x:c>
      <x:c r="J3" s="33" t="str">
        <x:v>2026-03-15</x:v>
      </x:c>
      <x:c r="K3" s="34" t="str">
        <x:v>دينار عراقي</x:v>
      </x:c>
      <x:c r="L3" s="37" t="n">
        <x:v>322500</x:v>
      </x:c>
      <x:c r="M3" s="37" t="n">
        <x:v>322500</x:v>
      </x:c>
      <x:c r="N3" s="34" t="str">
        <x:v>IMPORT</x:v>
      </x:c>
      <x:c r="O3" s="34" t="str">
        <x:v>INVENTORY</x:v>
      </x:c>
      <x:c r="P3" s="34" t="str">
        <x:v>GREEN_COFFEE</x:v>
      </x:c>
      <x:c r="Q3" s="34" t="str">
        <x:v>GREEN_COFFEE</x:v>
      </x:c>
      <x:c r="R3" s="38" t="n">
        <x:v>322500</x:v>
      </x:c>
      <x:c r="S3" s="34" t="str">
        <x:v>Green coffee stock.</x:v>
      </x:c>
    </x:row>
    <x:row r="4">
      <x:c r="A4" s="33" t="n">
        <x:v>4</x:v>
      </x:c>
      <x:c r="B4" s="33" t="str">
        <x:v>DOC000101</x:v>
      </x:c>
      <x:c r="C4" s="34" t="str">
        <x:v>قهوة خام روبوستا هندي</x:v>
      </x:c>
      <x:c r="D4" s="34" t="n">
        <x:v>30</x:v>
      </x:c>
      <x:c r="E4" s="34" t="n">
        <x:v>12250</x:v>
      </x:c>
      <x:c r="F4" s="34" t="str">
        <x:v>كيلو</x:v>
      </x:c>
      <x:c r="G4" s="34" t="str">
        <x:v>بوابة الرافدين للبن الخام</x:v>
      </x:c>
      <x:c r="H4" s="33" t="str">
        <x:v>1572306</x:v>
      </x:c>
      <x:c r="I4" s="33" t="str">
        <x:v>2026-03-15</x:v>
      </x:c>
      <x:c r="J4" s="33" t="str">
        <x:v>2026-03-15</x:v>
      </x:c>
      <x:c r="K4" s="34" t="str">
        <x:v>دينار عراقي</x:v>
      </x:c>
      <x:c r="L4" s="37" t="n">
        <x:v>367500</x:v>
      </x:c>
      <x:c r="M4" s="37" t="n">
        <x:v>367500</x:v>
      </x:c>
      <x:c r="N4" s="34" t="str">
        <x:v>IMPORT</x:v>
      </x:c>
      <x:c r="O4" s="34" t="str">
        <x:v>INVENTORY</x:v>
      </x:c>
      <x:c r="P4" s="34" t="str">
        <x:v>GREEN_COFFEE</x:v>
      </x:c>
      <x:c r="Q4" s="34" t="str">
        <x:v>GREEN_COFFEE</x:v>
      </x:c>
      <x:c r="R4" s="38" t="n">
        <x:v>367500</x:v>
      </x:c>
      <x:c r="S4" s="34" t="str">
        <x:v>Green coffee stock.</x:v>
      </x:c>
    </x:row>
    <x:row r="5">
      <x:c r="A5" s="33" t="n">
        <x:v>5</x:v>
      </x:c>
      <x:c r="B5" s="33" t="str">
        <x:v>DOC000102</x:v>
      </x:c>
      <x:c r="C5" s="34" t="str">
        <x:v>قهوة خام ميناس برازيل</x:v>
      </x:c>
      <x:c r="D5" s="34" t="n">
        <x:v>30</x:v>
      </x:c>
      <x:c r="E5" s="34" t="n">
        <x:v>15000</x:v>
      </x:c>
      <x:c r="F5" s="34" t="str">
        <x:v>كيلو</x:v>
      </x:c>
      <x:c r="G5" s="34" t="str">
        <x:v>بوابة الرافدين للبن الخام</x:v>
      </x:c>
      <x:c r="H5" s="33" t="str">
        <x:v>1572307</x:v>
      </x:c>
      <x:c r="I5" s="33" t="str">
        <x:v>2026-03-15</x:v>
      </x:c>
      <x:c r="J5" s="33" t="str">
        <x:v>2026-03-15</x:v>
      </x:c>
      <x:c r="K5" s="34" t="str">
        <x:v>دينار عراقي</x:v>
      </x:c>
      <x:c r="L5" s="37" t="n">
        <x:v>450000</x:v>
      </x:c>
      <x:c r="M5" s="37" t="n">
        <x:v>450000</x:v>
      </x:c>
      <x:c r="N5" s="34" t="str">
        <x:v>IMPORT</x:v>
      </x:c>
      <x:c r="O5" s="34" t="str">
        <x:v>INVENTORY</x:v>
      </x:c>
      <x:c r="P5" s="34" t="str">
        <x:v>GREEN_COFFEE</x:v>
      </x:c>
      <x:c r="Q5" s="34" t="str">
        <x:v>GREEN_COFFEE</x:v>
      </x:c>
      <x:c r="R5" s="38" t="n">
        <x:v>450000</x:v>
      </x:c>
      <x:c r="S5" s="34" t="str">
        <x:v>Green coffee stock.</x:v>
      </x:c>
    </x:row>
    <x:row r="6">
      <x:c r="A6" s="33" t="n">
        <x:v>6</x:v>
      </x:c>
      <x:c r="B6" s="33" t="str">
        <x:v>DOC000103</x:v>
      </x:c>
      <x:c r="C6" s="34" t="str">
        <x:v>كافك فلاتر ورقي</x:v>
      </x:c>
      <x:c r="D6" s="34" t="n">
        <x:v>1</x:v>
      </x:c>
      <x:c r="E6" s="34" t="n">
        <x:v>10000</x:v>
      </x:c>
      <x:c r="F6" s="34" t="str">
        <x:v>مغلف</x:v>
      </x:c>
      <x:c r="G6" s="34" t="str">
        <x:v>جبران</x:v>
      </x:c>
      <x:c r="H6" s="33" t="str">
        <x:v>564</x:v>
      </x:c>
      <x:c r="I6" s="33" t="str">
        <x:v>2026-01-21</x:v>
      </x:c>
      <x:c r="J6" s="33" t="str">
        <x:v>2026-01-21</x:v>
      </x:c>
      <x:c r="K6" s="34" t="str">
        <x:v>دينار عراقي</x:v>
      </x:c>
      <x:c r="L6" s="37" t="n">
        <x:v>10000</x:v>
      </x:c>
      <x:c r="M6" s="37" t="str"/>
      <x:c r="N6" s="34" t="str">
        <x:v>IMPORT</x:v>
      </x:c>
      <x:c r="O6" s="34" t="str">
        <x:v>INVENTORY</x:v>
      </x:c>
      <x:c r="P6" s="34" t="str">
        <x:v>OVERHEAD</x:v>
      </x:c>
      <x:c r="Q6" s="34" t="str">
        <x:v>PRODUCTION_SUPPLY</x:v>
      </x:c>
      <x:c r="R6" s="38" t="n">
        <x:v>10000</x:v>
      </x:c>
      <x:c r="S6" s="34" t="str">
        <x:v>Production and tasting supply.</x:v>
      </x:c>
    </x:row>
    <x:row r="7">
      <x:c r="A7" s="33" t="n">
        <x:v>7</x:v>
      </x:c>
      <x:c r="B7" s="33" t="str">
        <x:v>DOC000103</x:v>
      </x:c>
      <x:c r="C7" s="34" t="str">
        <x:v>قهوة اثيوبيا بيكيلي 200 غم</x:v>
      </x:c>
      <x:c r="D7" s="34" t="n">
        <x:v>200</x:v>
      </x:c>
      <x:c r="E7" s="34" t="n">
        <x:v>35000</x:v>
      </x:c>
      <x:c r="F7" s="34" t="str">
        <x:v>غرام</x:v>
      </x:c>
      <x:c r="G7" s="34" t="str">
        <x:v>جبران</x:v>
      </x:c>
      <x:c r="H7" s="33" t="str">
        <x:v>564</x:v>
      </x:c>
      <x:c r="I7" s="33" t="str">
        <x:v>2026-01-21</x:v>
      </x:c>
      <x:c r="J7" s="33" t="str">
        <x:v>2026-01-21</x:v>
      </x:c>
      <x:c r="K7" s="34" t="str">
        <x:v>دينار عراقي</x:v>
      </x:c>
      <x:c r="L7" s="37" t="n">
        <x:v>35000</x:v>
      </x:c>
      <x:c r="M7" s="37" t="n">
        <x:v>45000</x:v>
      </x:c>
      <x:c r="N7" s="34" t="str">
        <x:v>IMPORT</x:v>
      </x:c>
      <x:c r="O7" s="34" t="str">
        <x:v>INVENTORY</x:v>
      </x:c>
      <x:c r="P7" s="34" t="str">
        <x:v>GREEN_COFFEE</x:v>
      </x:c>
      <x:c r="Q7" s="34" t="str">
        <x:v>ROASTED</x:v>
      </x:c>
      <x:c r="R7" s="38" t="n">
        <x:v>35000</x:v>
      </x:c>
      <x:c r="S7" s="34" t="str">
        <x:v>Roasted/sample coffee stock.</x:v>
      </x:c>
    </x:row>
    <x:row r="8">
      <x:c r="A8" s="33" t="n">
        <x:v>8</x:v>
      </x:c>
      <x:c r="B8" s="33" t="str">
        <x:v>DOC000104</x:v>
      </x:c>
      <x:c r="C8" s="34" t="str">
        <x:v>حافظة مواد غذائية شفافة</x:v>
      </x:c>
      <x:c r="D8" s="34" t="n">
        <x:v>4</x:v>
      </x:c>
      <x:c r="E8" s="34" t="n">
        <x:v>24750</x:v>
      </x:c>
      <x:c r="F8" s="34" t="str">
        <x:v>مفرد</x:v>
      </x:c>
      <x:c r="G8" s="34" t="str">
        <x:v>هوم اسطنبول</x:v>
      </x:c>
      <x:c r="H8" s="33" t="str">
        <x:v>'8683723704091</x:v>
      </x:c>
      <x:c r="I8" s="33" t="str">
        <x:v>2026-03-17</x:v>
      </x:c>
      <x:c r="J8" s="33" t="str">
        <x:v>2026-03-17</x:v>
      </x:c>
      <x:c r="K8" s="34" t="str">
        <x:v>دينار عراقي</x:v>
      </x:c>
      <x:c r="L8" s="37" t="n">
        <x:v>99000</x:v>
      </x:c>
      <x:c r="M8" s="37" t="n">
        <x:v>99000</x:v>
      </x:c>
      <x:c r="N8" s="34" t="str">
        <x:v>IMPORT</x:v>
      </x:c>
      <x:c r="O8" s="34" t="str">
        <x:v>INVENTORY</x:v>
      </x:c>
      <x:c r="P8" s="34" t="str">
        <x:v>PACKAGING</x:v>
      </x:c>
      <x:c r="Q8" s="34" t="str">
        <x:v>PACKAGING</x:v>
      </x:c>
      <x:c r="R8" s="38" t="n">
        <x:v>99000</x:v>
      </x:c>
      <x:c r="S8" s="34" t="str">
        <x:v>Packaging stock.</x:v>
      </x:c>
    </x:row>
    <x:row r="9">
      <x:c r="A9" s="33" t="n">
        <x:v>9</x:v>
      </x:c>
      <x:c r="B9" s="33" t="str">
        <x:v>DOC000105</x:v>
      </x:c>
      <x:c r="C9" s="34" t="str">
        <x:v>رسوم ضريبية اكياس المختصة</x:v>
      </x:c>
      <x:c r="D9" s="34" t="n">
        <x:v>1</x:v>
      </x:c>
      <x:c r="E9" s="34" t="n">
        <x:v>21</x:v>
      </x:c>
      <x:c r="F9" s="34" t="str">
        <x:v>مفرد</x:v>
      </x:c>
      <x:c r="G9" s="34" t="str">
        <x:v>شركة الاستلام</x:v>
      </x:c>
      <x:c r="H9" s="33" t="str">
        <x:v>022199</x:v>
      </x:c>
      <x:c r="I9" s="33" t="str">
        <x:v>2026-01-10</x:v>
      </x:c>
      <x:c r="J9" s="33" t="str">
        <x:v>2026-01-10</x:v>
      </x:c>
      <x:c r="K9" s="34" t="str">
        <x:v>دولار</x:v>
      </x:c>
      <x:c r="L9" s="37" t="n">
        <x:v>30000</x:v>
      </x:c>
      <x:c r="M9" s="37" t="n">
        <x:v>30000</x:v>
      </x:c>
      <x:c r="N9" s="34" t="str">
        <x:v>IMPORT</x:v>
      </x:c>
      <x:c r="O9" s="34" t="str">
        <x:v>SERVICE</x:v>
      </x:c>
      <x:c r="P9" s="34" t="str">
        <x:v>SHIPPING</x:v>
      </x:c>
      <x:c r="Q9" s="34" t="str"/>
      <x:c r="R9" s="38" t="n">
        <x:v>30000</x:v>
      </x:c>
      <x:c r="S9" s="34" t="str">
        <x:v>Freight, delivery, or customs service. Date normalized from the workbook numeric cell to its visible day/month convention.</x:v>
      </x:c>
    </x:row>
    <x:row r="10">
      <x:c r="A10" s="33" t="n">
        <x:v>10</x:v>
      </x:c>
      <x:c r="B10" s="33" t="str">
        <x:v>DOC000106</x:v>
      </x:c>
      <x:c r="C10" s="34" t="str">
        <x:v>نايلون لاصق</x:v>
      </x:c>
      <x:c r="D10" s="34" t="n">
        <x:v>1</x:v>
      </x:c>
      <x:c r="E10" s="34" t="n">
        <x:v>4000</x:v>
      </x:c>
      <x:c r="F10" s="34" t="str">
        <x:v>مفرد</x:v>
      </x:c>
      <x:c r="G10" s="34" t="str">
        <x:v>ئه لماس</x:v>
      </x:c>
      <x:c r="H10" s="33" t="str">
        <x:v>883</x:v>
      </x:c>
      <x:c r="I10" s="33" t="str">
        <x:v>2025-12-20</x:v>
      </x:c>
      <x:c r="J10" s="33" t="str">
        <x:v>2025-12-20</x:v>
      </x:c>
      <x:c r="K10" s="34" t="str">
        <x:v>دينار عراقي</x:v>
      </x:c>
      <x:c r="L10" s="37" t="n">
        <x:v>4000</x:v>
      </x:c>
      <x:c r="M10" s="37" t="str"/>
      <x:c r="N10" s="34" t="str">
        <x:v>IMPORT</x:v>
      </x:c>
      <x:c r="O10" s="34" t="str">
        <x:v>EXPENSE</x:v>
      </x:c>
      <x:c r="P10" s="34" t="str">
        <x:v>OVERHEAD</x:v>
      </x:c>
      <x:c r="Q10" s="34" t="str"/>
      <x:c r="R10" s="38" t="n">
        <x:v>4000</x:v>
      </x:c>
      <x:c r="S10" s="34" t="str">
        <x:v>General operating cost.</x:v>
      </x:c>
    </x:row>
    <x:row r="11">
      <x:c r="A11" s="33" t="n">
        <x:v>11</x:v>
      </x:c>
      <x:c r="B11" s="33" t="str">
        <x:v>DOC000106</x:v>
      </x:c>
      <x:c r="C11" s="34" t="str">
        <x:v>شفرة</x:v>
      </x:c>
      <x:c r="D11" s="34" t="n">
        <x:v>1</x:v>
      </x:c>
      <x:c r="E11" s="34" t="n">
        <x:v>3000</x:v>
      </x:c>
      <x:c r="F11" s="34" t="str">
        <x:v>مفرد</x:v>
      </x:c>
      <x:c r="G11" s="34" t="str">
        <x:v>ئه لماس</x:v>
      </x:c>
      <x:c r="H11" s="33" t="str">
        <x:v>883</x:v>
      </x:c>
      <x:c r="I11" s="33" t="str">
        <x:v>2025-12-20</x:v>
      </x:c>
      <x:c r="J11" s="33" t="str">
        <x:v>2025-12-20</x:v>
      </x:c>
      <x:c r="K11" s="34" t="str">
        <x:v>دينار عراقي</x:v>
      </x:c>
      <x:c r="L11" s="37" t="n">
        <x:v>3000</x:v>
      </x:c>
      <x:c r="M11" s="37" t="str"/>
      <x:c r="N11" s="34" t="str">
        <x:v>IMPORT</x:v>
      </x:c>
      <x:c r="O11" s="34" t="str">
        <x:v>EXPENSE</x:v>
      </x:c>
      <x:c r="P11" s="34" t="str">
        <x:v>EQUIPMENT</x:v>
      </x:c>
      <x:c r="Q11" s="34" t="str"/>
      <x:c r="R11" s="38" t="n">
        <x:v>3000</x:v>
      </x:c>
      <x:c r="S11" s="34" t="str">
        <x:v>Low-value tool or equipment below capitalization threshold.</x:v>
      </x:c>
    </x:row>
    <x:row r="12">
      <x:c r="A12" s="33" t="n">
        <x:v>12</x:v>
      </x:c>
      <x:c r="B12" s="33" t="str">
        <x:v>DOC000106</x:v>
      </x:c>
      <x:c r="C12" s="34" t="str">
        <x:v>معجون جاهز</x:v>
      </x:c>
      <x:c r="D12" s="34" t="n">
        <x:v>1</x:v>
      </x:c>
      <x:c r="E12" s="34" t="n">
        <x:v>3000</x:v>
      </x:c>
      <x:c r="F12" s="34" t="str">
        <x:v>كيلو</x:v>
      </x:c>
      <x:c r="G12" s="34" t="str">
        <x:v>ئه لماس</x:v>
      </x:c>
      <x:c r="H12" s="33" t="str">
        <x:v>883</x:v>
      </x:c>
      <x:c r="I12" s="33" t="str">
        <x:v>2025-12-20</x:v>
      </x:c>
      <x:c r="J12" s="33" t="str">
        <x:v>2025-12-20</x:v>
      </x:c>
      <x:c r="K12" s="34" t="str">
        <x:v>دينار عراقي</x:v>
      </x:c>
      <x:c r="L12" s="37" t="n">
        <x:v>3000</x:v>
      </x:c>
      <x:c r="M12" s="37" t="str"/>
      <x:c r="N12" s="34" t="str">
        <x:v>IMPORT</x:v>
      </x:c>
      <x:c r="O12" s="34" t="str">
        <x:v>EXPENSE</x:v>
      </x:c>
      <x:c r="P12" s="34" t="str">
        <x:v>MAINTENANCE</x:v>
      </x:c>
      <x:c r="Q12" s="34" t="str"/>
      <x:c r="R12" s="38" t="n">
        <x:v>3000</x:v>
      </x:c>
      <x:c r="S12" s="34" t="str">
        <x:v>Premises maintenance or fit-out.</x:v>
      </x:c>
    </x:row>
    <x:row r="13">
      <x:c r="A13" s="33" t="n">
        <x:v>13</x:v>
      </x:c>
      <x:c r="B13" s="33" t="str">
        <x:v>DOC000106</x:v>
      </x:c>
      <x:c r="C13" s="34" t="str">
        <x:v>رولة صبغ</x:v>
      </x:c>
      <x:c r="D13" s="34" t="n">
        <x:v>1</x:v>
      </x:c>
      <x:c r="E13" s="34" t="n">
        <x:v>4000</x:v>
      </x:c>
      <x:c r="F13" s="34" t="str">
        <x:v>مفرد</x:v>
      </x:c>
      <x:c r="G13" s="34" t="str">
        <x:v>ئه لماس</x:v>
      </x:c>
      <x:c r="H13" s="33" t="str">
        <x:v>883</x:v>
      </x:c>
      <x:c r="I13" s="33" t="str">
        <x:v>2025-12-20</x:v>
      </x:c>
      <x:c r="J13" s="33" t="str">
        <x:v>2025-12-20</x:v>
      </x:c>
      <x:c r="K13" s="34" t="str">
        <x:v>دينار عراقي</x:v>
      </x:c>
      <x:c r="L13" s="37" t="n">
        <x:v>4000</x:v>
      </x:c>
      <x:c r="M13" s="37" t="str"/>
      <x:c r="N13" s="34" t="str">
        <x:v>IMPORT</x:v>
      </x:c>
      <x:c r="O13" s="34" t="str">
        <x:v>EXPENSE</x:v>
      </x:c>
      <x:c r="P13" s="34" t="str">
        <x:v>MAINTENANCE</x:v>
      </x:c>
      <x:c r="Q13" s="34" t="str"/>
      <x:c r="R13" s="38" t="n">
        <x:v>4000</x:v>
      </x:c>
      <x:c r="S13" s="34" t="str">
        <x:v>Premises maintenance or fit-out.</x:v>
      </x:c>
    </x:row>
    <x:row r="14">
      <x:c r="A14" s="33" t="n">
        <x:v>14</x:v>
      </x:c>
      <x:c r="B14" s="33" t="str">
        <x:v>DOC000106</x:v>
      </x:c>
      <x:c r="C14" s="34" t="str">
        <x:v>ثنر وسط</x:v>
      </x:c>
      <x:c r="D14" s="34" t="n">
        <x:v>1</x:v>
      </x:c>
      <x:c r="E14" s="34" t="n">
        <x:v>2000</x:v>
      </x:c>
      <x:c r="F14" s="34" t="str">
        <x:v>مفرد</x:v>
      </x:c>
      <x:c r="G14" s="34" t="str">
        <x:v>ئه لماس</x:v>
      </x:c>
      <x:c r="H14" s="33" t="str">
        <x:v>883</x:v>
      </x:c>
      <x:c r="I14" s="33" t="str">
        <x:v>2025-12-20</x:v>
      </x:c>
      <x:c r="J14" s="33" t="str">
        <x:v>2025-12-20</x:v>
      </x:c>
      <x:c r="K14" s="34" t="str">
        <x:v>دينار عراقي</x:v>
      </x:c>
      <x:c r="L14" s="37" t="n">
        <x:v>2000</x:v>
      </x:c>
      <x:c r="M14" s="37" t="str"/>
      <x:c r="N14" s="34" t="str">
        <x:v>IMPORT</x:v>
      </x:c>
      <x:c r="O14" s="34" t="str">
        <x:v>EXPENSE</x:v>
      </x:c>
      <x:c r="P14" s="34" t="str">
        <x:v>MAINTENANCE</x:v>
      </x:c>
      <x:c r="Q14" s="34" t="str"/>
      <x:c r="R14" s="38" t="n">
        <x:v>2000</x:v>
      </x:c>
      <x:c r="S14" s="34" t="str">
        <x:v>Premises maintenance or fit-out.</x:v>
      </x:c>
    </x:row>
    <x:row r="15">
      <x:c r="A15" s="33" t="n">
        <x:v>15</x:v>
      </x:c>
      <x:c r="B15" s="33" t="str">
        <x:v>DOC000106</x:v>
      </x:c>
      <x:c r="C15" s="34" t="str">
        <x:v>فرشاة صبغ</x:v>
      </x:c>
      <x:c r="D15" s="34" t="n">
        <x:v>1</x:v>
      </x:c>
      <x:c r="E15" s="34" t="n">
        <x:v>3000</x:v>
      </x:c>
      <x:c r="F15" s="34" t="str">
        <x:v>مفرد</x:v>
      </x:c>
      <x:c r="G15" s="34" t="str">
        <x:v>ئه لماس</x:v>
      </x:c>
      <x:c r="H15" s="33" t="str">
        <x:v>883</x:v>
      </x:c>
      <x:c r="I15" s="33" t="str">
        <x:v>2025-12-20</x:v>
      </x:c>
      <x:c r="J15" s="33" t="str">
        <x:v>2025-12-20</x:v>
      </x:c>
      <x:c r="K15" s="34" t="str">
        <x:v>دينار عراقي</x:v>
      </x:c>
      <x:c r="L15" s="37" t="n">
        <x:v>3000</x:v>
      </x:c>
      <x:c r="M15" s="37" t="str"/>
      <x:c r="N15" s="34" t="str">
        <x:v>IMPORT</x:v>
      </x:c>
      <x:c r="O15" s="34" t="str">
        <x:v>EXPENSE</x:v>
      </x:c>
      <x:c r="P15" s="34" t="str">
        <x:v>MAINTENANCE</x:v>
      </x:c>
      <x:c r="Q15" s="34" t="str"/>
      <x:c r="R15" s="38" t="n">
        <x:v>3000</x:v>
      </x:c>
      <x:c r="S15" s="34" t="str">
        <x:v>Premises maintenance or fit-out.</x:v>
      </x:c>
    </x:row>
    <x:row r="16">
      <x:c r="A16" s="33" t="n">
        <x:v>16</x:v>
      </x:c>
      <x:c r="B16" s="33" t="str">
        <x:v>DOC000106</x:v>
      </x:c>
      <x:c r="C16" s="34" t="str">
        <x:v>تيب ازارة</x:v>
      </x:c>
      <x:c r="D16" s="34" t="n">
        <x:v>1</x:v>
      </x:c>
      <x:c r="E16" s="34" t="n">
        <x:v>5000</x:v>
      </x:c>
      <x:c r="F16" s="34" t="str">
        <x:v>مفرد</x:v>
      </x:c>
      <x:c r="G16" s="34" t="str">
        <x:v>ئه لماس</x:v>
      </x:c>
      <x:c r="H16" s="33" t="str">
        <x:v>883</x:v>
      </x:c>
      <x:c r="I16" s="33" t="str">
        <x:v>2025-12-20</x:v>
      </x:c>
      <x:c r="J16" s="33" t="str">
        <x:v>2025-12-20</x:v>
      </x:c>
      <x:c r="K16" s="34" t="str">
        <x:v>دينار عراقي</x:v>
      </x:c>
      <x:c r="L16" s="37" t="n">
        <x:v>5000</x:v>
      </x:c>
      <x:c r="M16" s="37" t="n">
        <x:v>24000</x:v>
      </x:c>
      <x:c r="N16" s="34" t="str">
        <x:v>IMPORT</x:v>
      </x:c>
      <x:c r="O16" s="34" t="str">
        <x:v>EXPENSE</x:v>
      </x:c>
      <x:c r="P16" s="34" t="str">
        <x:v>MAINTENANCE</x:v>
      </x:c>
      <x:c r="Q16" s="34" t="str"/>
      <x:c r="R16" s="38" t="n">
        <x:v>5000</x:v>
      </x:c>
      <x:c r="S16" s="34" t="str">
        <x:v>Premises maintenance or fit-out.</x:v>
      </x:c>
    </x:row>
    <x:row r="17">
      <x:c r="A17" s="33" t="n">
        <x:v>17</x:v>
      </x:c>
      <x:c r="B17" s="33" t="str">
        <x:v>DOC000107</x:v>
      </x:c>
      <x:c r="C17" s="34" t="str">
        <x:v>قفل</x:v>
      </x:c>
      <x:c r="D17" s="34" t="n">
        <x:v>1</x:v>
      </x:c>
      <x:c r="E17" s="34" t="n">
        <x:v>7000</x:v>
      </x:c>
      <x:c r="F17" s="34" t="str">
        <x:v>مفرد</x:v>
      </x:c>
      <x:c r="G17" s="34" t="str">
        <x:v>فروشكاى بيشه نك</x:v>
      </x:c>
      <x:c r="H17" s="33" t="str">
        <x:v>649</x:v>
      </x:c>
      <x:c r="I17" s="33" t="str">
        <x:v>2025-12-20</x:v>
      </x:c>
      <x:c r="J17" s="33" t="str">
        <x:v>2025-12-20</x:v>
      </x:c>
      <x:c r="K17" s="34" t="str">
        <x:v>دينار عراقي</x:v>
      </x:c>
      <x:c r="L17" s="37" t="n">
        <x:v>7000</x:v>
      </x:c>
      <x:c r="M17" s="37" t="str"/>
      <x:c r="N17" s="34" t="str">
        <x:v>IMPORT</x:v>
      </x:c>
      <x:c r="O17" s="34" t="str">
        <x:v>EXPENSE</x:v>
      </x:c>
      <x:c r="P17" s="34" t="str">
        <x:v>MAINTENANCE</x:v>
      </x:c>
      <x:c r="Q17" s="34" t="str"/>
      <x:c r="R17" s="38" t="n">
        <x:v>7000</x:v>
      </x:c>
      <x:c r="S17" s="34" t="str">
        <x:v>Premises maintenance or fit-out.</x:v>
      </x:c>
    </x:row>
    <x:row r="18">
      <x:c r="A18" s="33" t="n">
        <x:v>18</x:v>
      </x:c>
      <x:c r="B18" s="33" t="str">
        <x:v>DOC000107</x:v>
      </x:c>
      <x:c r="C18" s="34" t="str">
        <x:v>موس شفرة</x:v>
      </x:c>
      <x:c r="D18" s="34" t="n">
        <x:v>1</x:v>
      </x:c>
      <x:c r="E18" s="34" t="n">
        <x:v>2000</x:v>
      </x:c>
      <x:c r="F18" s="34" t="str">
        <x:v>مفرد</x:v>
      </x:c>
      <x:c r="G18" s="34" t="str">
        <x:v>فروشكاى بيشه نك</x:v>
      </x:c>
      <x:c r="H18" s="33" t="str">
        <x:v>649</x:v>
      </x:c>
      <x:c r="I18" s="33" t="str">
        <x:v>2025-12-20</x:v>
      </x:c>
      <x:c r="J18" s="33" t="str">
        <x:v>2025-12-20</x:v>
      </x:c>
      <x:c r="K18" s="34" t="str">
        <x:v>دينار عراقي</x:v>
      </x:c>
      <x:c r="L18" s="37" t="n">
        <x:v>2000</x:v>
      </x:c>
      <x:c r="M18" s="37" t="str"/>
      <x:c r="N18" s="34" t="str">
        <x:v>IMPORT</x:v>
      </x:c>
      <x:c r="O18" s="34" t="str">
        <x:v>EXPENSE</x:v>
      </x:c>
      <x:c r="P18" s="34" t="str">
        <x:v>EQUIPMENT</x:v>
      </x:c>
      <x:c r="Q18" s="34" t="str"/>
      <x:c r="R18" s="38" t="n">
        <x:v>2000</x:v>
      </x:c>
      <x:c r="S18" s="34" t="str">
        <x:v>Low-value tool or equipment below capitalization threshold.</x:v>
      </x:c>
    </x:row>
    <x:row r="19">
      <x:c r="A19" s="33" t="n">
        <x:v>19</x:v>
      </x:c>
      <x:c r="B19" s="33" t="str">
        <x:v>DOC000107</x:v>
      </x:c>
      <x:c r="C19" s="34" t="str">
        <x:v>قرص كوسرة</x:v>
      </x:c>
      <x:c r="D19" s="34" t="n">
        <x:v>1</x:v>
      </x:c>
      <x:c r="E19" s="34" t="n">
        <x:v>1000</x:v>
      </x:c>
      <x:c r="F19" s="34" t="str">
        <x:v>مفرد</x:v>
      </x:c>
      <x:c r="G19" s="34" t="str">
        <x:v>فروشكاى بيشه نك</x:v>
      </x:c>
      <x:c r="H19" s="33" t="str">
        <x:v>649</x:v>
      </x:c>
      <x:c r="I19" s="33" t="str">
        <x:v>2025-12-20</x:v>
      </x:c>
      <x:c r="J19" s="33" t="str">
        <x:v>2025-12-20</x:v>
      </x:c>
      <x:c r="K19" s="34" t="str">
        <x:v>دينار عراقي</x:v>
      </x:c>
      <x:c r="L19" s="37" t="n">
        <x:v>1000</x:v>
      </x:c>
      <x:c r="M19" s="37" t="n">
        <x:v>10000</x:v>
      </x:c>
      <x:c r="N19" s="34" t="str">
        <x:v>IMPORT</x:v>
      </x:c>
      <x:c r="O19" s="34" t="str">
        <x:v>EXPENSE</x:v>
      </x:c>
      <x:c r="P19" s="34" t="str">
        <x:v>EQUIPMENT</x:v>
      </x:c>
      <x:c r="Q19" s="34" t="str"/>
      <x:c r="R19" s="38" t="n">
        <x:v>1000</x:v>
      </x:c>
      <x:c r="S19" s="34" t="str">
        <x:v>Low-value tool or equipment below capitalization threshold.</x:v>
      </x:c>
    </x:row>
    <x:row r="20">
      <x:c r="A20" s="33" t="n">
        <x:v>20</x:v>
      </x:c>
      <x:c r="B20" s="33" t="str">
        <x:v>DOC000108</x:v>
      </x:c>
      <x:c r="C20" s="34" t="str">
        <x:v>كاميرا واي فاي</x:v>
      </x:c>
      <x:c r="D20" s="34" t="n">
        <x:v>1</x:v>
      </x:c>
      <x:c r="E20" s="34" t="n">
        <x:v>85000</x:v>
      </x:c>
      <x:c r="F20" s="34" t="str">
        <x:v>مفرد</x:v>
      </x:c>
      <x:c r="G20" s="34" t="str">
        <x:v>مكتب مكرم</x:v>
      </x:c>
      <x:c r="H20" s="33" t="str">
        <x:v>B551</x:v>
      </x:c>
      <x:c r="I20" s="33" t="str">
        <x:v>2026-02-04</x:v>
      </x:c>
      <x:c r="J20" s="33" t="str">
        <x:v>2026-02-04</x:v>
      </x:c>
      <x:c r="K20" s="34" t="str">
        <x:v>دينار عراقي</x:v>
      </x:c>
      <x:c r="L20" s="37" t="n">
        <x:v>85000</x:v>
      </x:c>
      <x:c r="M20" s="37" t="n">
        <x:v>85000</x:v>
      </x:c>
      <x:c r="N20" s="34" t="str">
        <x:v>IMPORT</x:v>
      </x:c>
      <x:c r="O20" s="34" t="str">
        <x:v>EXPENSE</x:v>
      </x:c>
      <x:c r="P20" s="34" t="str">
        <x:v>TECH</x:v>
      </x:c>
      <x:c r="Q20" s="34" t="str"/>
      <x:c r="R20" s="38" t="n">
        <x:v>85000</x:v>
      </x:c>
      <x:c r="S20" s="34" t="str">
        <x:v>Low-value technology equipment. Date normalized from the workbook numeric cell to its visible day/month convention.</x:v>
      </x:c>
    </x:row>
    <x:row r="21">
      <x:c r="A21" s="33" t="n">
        <x:v>21</x:v>
      </x:c>
      <x:c r="B21" s="33" t="str">
        <x:v>DOC000109</x:v>
      </x:c>
      <x:c r="C21" s="34" t="str">
        <x:v>اجور شحن جوي اكياس تقطير</x:v>
      </x:c>
      <x:c r="D21" s="34" t="n">
        <x:v>1</x:v>
      </x:c>
      <x:c r="E21" s="34" t="n">
        <x:v>150000</x:v>
      </x:c>
      <x:c r="F21" s="34" t="str">
        <x:v>مفرد</x:v>
      </x:c>
      <x:c r="G21" s="34" t="str">
        <x:v>شيمال كروب</x:v>
      </x:c>
      <x:c r="H21" s="33" t="str">
        <x:v>152</x:v>
      </x:c>
      <x:c r="I21" s="33" t="str">
        <x:v>2026-04-14</x:v>
      </x:c>
      <x:c r="J21" s="33" t="str">
        <x:v>2026-04-14</x:v>
      </x:c>
      <x:c r="K21" s="34" t="str">
        <x:v>دينار عراقي</x:v>
      </x:c>
      <x:c r="L21" s="37" t="n">
        <x:v>150000</x:v>
      </x:c>
      <x:c r="M21" s="37" t="n">
        <x:v>150000</x:v>
      </x:c>
      <x:c r="N21" s="34" t="str">
        <x:v>IMPORT</x:v>
      </x:c>
      <x:c r="O21" s="34" t="str">
        <x:v>SERVICE</x:v>
      </x:c>
      <x:c r="P21" s="34" t="str">
        <x:v>SHIPPING</x:v>
      </x:c>
      <x:c r="Q21" s="34" t="str"/>
      <x:c r="R21" s="38" t="n">
        <x:v>150000</x:v>
      </x:c>
      <x:c r="S21" s="34" t="str">
        <x:v>Freight, delivery, or customs service.</x:v>
      </x:c>
    </x:row>
    <x:row r="22">
      <x:c r="A22" s="33" t="n">
        <x:v>22</x:v>
      </x:c>
      <x:c r="B22" s="33" t="str">
        <x:v>DOC000110</x:v>
      </x:c>
      <x:c r="C22" s="34" t="str">
        <x:v>ذاكرة ميموري رام 256 كيكا</x:v>
      </x:c>
      <x:c r="D22" s="34" t="n">
        <x:v>1</x:v>
      </x:c>
      <x:c r="E22" s="34" t="n">
        <x:v>50000</x:v>
      </x:c>
      <x:c r="F22" s="34" t="str">
        <x:v>مفرد</x:v>
      </x:c>
      <x:c r="G22" s="34" t="str">
        <x:v>اوبريتنك سيستم</x:v>
      </x:c>
      <x:c r="H22" s="33" t="str">
        <x:v>2300</x:v>
      </x:c>
      <x:c r="I22" s="33" t="str">
        <x:v>2026-02-04</x:v>
      </x:c>
      <x:c r="J22" s="33" t="str">
        <x:v>2026-02-04</x:v>
      </x:c>
      <x:c r="K22" s="34" t="str">
        <x:v>دينار عراقي</x:v>
      </x:c>
      <x:c r="L22" s="37" t="n">
        <x:v>50000</x:v>
      </x:c>
      <x:c r="M22" s="37" t="n">
        <x:v>50000</x:v>
      </x:c>
      <x:c r="N22" s="34" t="str">
        <x:v>IMPORT</x:v>
      </x:c>
      <x:c r="O22" s="34" t="str">
        <x:v>EXPENSE</x:v>
      </x:c>
      <x:c r="P22" s="34" t="str">
        <x:v>TECH</x:v>
      </x:c>
      <x:c r="Q22" s="34" t="str"/>
      <x:c r="R22" s="38" t="n">
        <x:v>50000</x:v>
      </x:c>
      <x:c r="S22" s="34" t="str">
        <x:v>Low-value technology equipment. Date normalized from the workbook numeric cell to its visible day/month convention.</x:v>
      </x:c>
    </x:row>
    <x:row r="23">
      <x:c r="A23" s="33" t="n">
        <x:v>23</x:v>
      </x:c>
      <x:c r="B23" s="33" t="str">
        <x:v>DOC000111</x:v>
      </x:c>
      <x:c r="C23" s="34" t="str">
        <x:v>دفع ايجار المحل</x:v>
      </x:c>
      <x:c r="D23" s="34" t="n">
        <x:v>1</x:v>
      </x:c>
      <x:c r="E23" s="34" t="n">
        <x:v>200000</x:v>
      </x:c>
      <x:c r="F23" s="34" t="str">
        <x:v>مفرد</x:v>
      </x:c>
      <x:c r="G23" s="34" t="str">
        <x:v>عقارات نعمان عولا حاجى</x:v>
      </x:c>
      <x:c r="H23" s="33" t="str">
        <x:v>697</x:v>
      </x:c>
      <x:c r="I23" s="33" t="str">
        <x:v>2026-03-09</x:v>
      </x:c>
      <x:c r="J23" s="33" t="str">
        <x:v>2026-03-09</x:v>
      </x:c>
      <x:c r="K23" s="34" t="str">
        <x:v>دينار عراقي</x:v>
      </x:c>
      <x:c r="L23" s="37" t="n">
        <x:v>200000</x:v>
      </x:c>
      <x:c r="M23" s="37" t="n">
        <x:v>200000</x:v>
      </x:c>
      <x:c r="N23" s="34" t="str">
        <x:v>IMPORT</x:v>
      </x:c>
      <x:c r="O23" s="34" t="str">
        <x:v>SERVICE</x:v>
      </x:c>
      <x:c r="P23" s="34" t="str">
        <x:v>RENT</x:v>
      </x:c>
      <x:c r="Q23" s="34" t="str"/>
      <x:c r="R23" s="38" t="n">
        <x:v>200000</x:v>
      </x:c>
      <x:c r="S23" s="34" t="str">
        <x:v>Rent, deposit, or broker cost. Date normalized from the workbook numeric cell to its visible day/month convention.</x:v>
      </x:c>
    </x:row>
    <x:row r="24">
      <x:c r="A24" s="33" t="n">
        <x:v>24</x:v>
      </x:c>
      <x:c r="B24" s="33" t="str">
        <x:v>DOC000112</x:v>
      </x:c>
      <x:c r="C24" s="34" t="str">
        <x:v>دفع ايجار المحل</x:v>
      </x:c>
      <x:c r="D24" s="34" t="n">
        <x:v>1</x:v>
      </x:c>
      <x:c r="E24" s="34" t="n">
        <x:v>200000</x:v>
      </x:c>
      <x:c r="F24" s="34" t="str">
        <x:v>مفرد</x:v>
      </x:c>
      <x:c r="G24" s="34" t="str">
        <x:v>عقارات نعمان عولا حاجى</x:v>
      </x:c>
      <x:c r="H24" s="33" t="str">
        <x:v>758</x:v>
      </x:c>
      <x:c r="I24" s="33" t="str">
        <x:v>2026-04-06</x:v>
      </x:c>
      <x:c r="J24" s="33" t="str">
        <x:v>2026-04-06</x:v>
      </x:c>
      <x:c r="K24" s="34" t="str">
        <x:v>دينار عراقي</x:v>
      </x:c>
      <x:c r="L24" s="37" t="n">
        <x:v>200000</x:v>
      </x:c>
      <x:c r="M24" s="37" t="n">
        <x:v>200000</x:v>
      </x:c>
      <x:c r="N24" s="34" t="str">
        <x:v>IMPORT</x:v>
      </x:c>
      <x:c r="O24" s="34" t="str">
        <x:v>SERVICE</x:v>
      </x:c>
      <x:c r="P24" s="34" t="str">
        <x:v>RENT</x:v>
      </x:c>
      <x:c r="Q24" s="34" t="str"/>
      <x:c r="R24" s="38" t="n">
        <x:v>200000</x:v>
      </x:c>
      <x:c r="S24" s="34" t="str">
        <x:v>Rent, deposit, or broker cost. Date normalized from the workbook numeric cell to its visible day/month convention.</x:v>
      </x:c>
    </x:row>
    <x:row r="25">
      <x:c r="A25" s="33" t="n">
        <x:v>25</x:v>
      </x:c>
      <x:c r="B25" s="33" t="str">
        <x:v>DOC000113</x:v>
      </x:c>
      <x:c r="C25" s="34" t="str">
        <x:v>لوح بورد فوم ابيض</x:v>
      </x:c>
      <x:c r="D25" s="34" t="n">
        <x:v>1</x:v>
      </x:c>
      <x:c r="E25" s="34" t="n">
        <x:v>20000</x:v>
      </x:c>
      <x:c r="F25" s="34" t="str">
        <x:v>مفرد</x:v>
      </x:c>
      <x:c r="G25" s="34" t="str">
        <x:v>بيس</x:v>
      </x:c>
      <x:c r="H25" s="33" t="str">
        <x:v>25-0041</x:v>
      </x:c>
      <x:c r="I25" s="33" t="str">
        <x:v>2026-01-31</x:v>
      </x:c>
      <x:c r="J25" s="33" t="str">
        <x:v>2026-01-31</x:v>
      </x:c>
      <x:c r="K25" s="34" t="str">
        <x:v>دينار عراقي</x:v>
      </x:c>
      <x:c r="L25" s="37" t="n">
        <x:v>20000</x:v>
      </x:c>
      <x:c r="M25" s="37" t="n">
        <x:v>20000</x:v>
      </x:c>
      <x:c r="N25" s="34" t="str">
        <x:v>IMPORT</x:v>
      </x:c>
      <x:c r="O25" s="34" t="str">
        <x:v>SERVICE</x:v>
      </x:c>
      <x:c r="P25" s="34" t="str">
        <x:v>MARKETING</x:v>
      </x:c>
      <x:c r="Q25" s="34" t="str"/>
      <x:c r="R25" s="38" t="n">
        <x:v>20000</x:v>
      </x:c>
      <x:c r="S25" s="34" t="str">
        <x:v>Branding and marketing cost.</x:v>
      </x:c>
    </x:row>
    <x:row r="26">
      <x:c r="A26" s="33" t="n">
        <x:v>26</x:v>
      </x:c>
      <x:c r="B26" s="33" t="str">
        <x:v>DOC000114</x:v>
      </x:c>
      <x:c r="C26" s="34" t="str">
        <x:v>اجور نقل نماذج الى سولو ستوديو</x:v>
      </x:c>
      <x:c r="D26" s="34" t="n">
        <x:v>1</x:v>
      </x:c>
      <x:c r="E26" s="34" t="n">
        <x:v>12500</x:v>
      </x:c>
      <x:c r="F26" s="34" t="str">
        <x:v>مفرد</x:v>
      </x:c>
      <x:c r="G26" s="34" t="str">
        <x:v>هاي اكسبريس</x:v>
      </x:c>
      <x:c r="H26" s="33" t="str">
        <x:v>1623015</x:v>
      </x:c>
      <x:c r="I26" s="33" t="str">
        <x:v>2026-01-30</x:v>
      </x:c>
      <x:c r="J26" s="33" t="str">
        <x:v>2026-01-30</x:v>
      </x:c>
      <x:c r="K26" s="34" t="str">
        <x:v>دينار عراقي</x:v>
      </x:c>
      <x:c r="L26" s="37" t="n">
        <x:v>12500</x:v>
      </x:c>
      <x:c r="M26" s="37" t="n">
        <x:v>12500</x:v>
      </x:c>
      <x:c r="N26" s="34" t="str">
        <x:v>IMPORT</x:v>
      </x:c>
      <x:c r="O26" s="34" t="str">
        <x:v>SERVICE</x:v>
      </x:c>
      <x:c r="P26" s="34" t="str">
        <x:v>SHIPPING</x:v>
      </x:c>
      <x:c r="Q26" s="34" t="str"/>
      <x:c r="R26" s="38" t="n">
        <x:v>12500</x:v>
      </x:c>
      <x:c r="S26" s="34" t="str">
        <x:v>Freight, delivery, or customs service.</x:v>
      </x:c>
    </x:row>
    <x:row r="27">
      <x:c r="A27" s="33" t="n">
        <x:v>27</x:v>
      </x:c>
      <x:c r="B27" s="33" t="str">
        <x:v>DOC000115</x:v>
      </x:c>
      <x:c r="C27" s="34" t="str">
        <x:v>دفع ايجار المحل</x:v>
      </x:c>
      <x:c r="D27" s="34" t="n">
        <x:v>1</x:v>
      </x:c>
      <x:c r="E27" s="34" t="n">
        <x:v>200000</x:v>
      </x:c>
      <x:c r="F27" s="34" t="str">
        <x:v>مفرد</x:v>
      </x:c>
      <x:c r="G27" s="34" t="str">
        <x:v>عقارات نعمان عولا حاجى</x:v>
      </x:c>
      <x:c r="H27" s="33" t="str">
        <x:v>583</x:v>
      </x:c>
      <x:c r="I27" s="33" t="str">
        <x:v>2026-02-03</x:v>
      </x:c>
      <x:c r="J27" s="33" t="str">
        <x:v>2026-02-03</x:v>
      </x:c>
      <x:c r="K27" s="34" t="str">
        <x:v>دينار عراقي</x:v>
      </x:c>
      <x:c r="L27" s="37" t="n">
        <x:v>200000</x:v>
      </x:c>
      <x:c r="M27" s="37" t="n">
        <x:v>200000</x:v>
      </x:c>
      <x:c r="N27" s="34" t="str">
        <x:v>IMPORT</x:v>
      </x:c>
      <x:c r="O27" s="34" t="str">
        <x:v>SERVICE</x:v>
      </x:c>
      <x:c r="P27" s="34" t="str">
        <x:v>RENT</x:v>
      </x:c>
      <x:c r="Q27" s="34" t="str"/>
      <x:c r="R27" s="38" t="n">
        <x:v>200000</x:v>
      </x:c>
      <x:c r="S27" s="34" t="str">
        <x:v>Rent, deposit, or broker cost. Date normalized from the workbook numeric cell to its visible day/month convention.</x:v>
      </x:c>
    </x:row>
    <x:row r="28">
      <x:c r="A28" s="33" t="n">
        <x:v>28</x:v>
      </x:c>
      <x:c r="B28" s="33" t="str">
        <x:v>DOC000116</x:v>
      </x:c>
      <x:c r="C28" s="34" t="str">
        <x:v>لاستيك سكة 3 متر</x:v>
      </x:c>
      <x:c r="D28" s="34" t="n">
        <x:v>2</x:v>
      </x:c>
      <x:c r="E28" s="34" t="n">
        <x:v>7</x:v>
      </x:c>
      <x:c r="F28" s="34" t="str">
        <x:v>مفرد</x:v>
      </x:c>
      <x:c r="G28" s="34" t="str">
        <x:v>ديكورات روزكار</x:v>
      </x:c>
      <x:c r="H28" s="33" t="str">
        <x:v>DOC000116</x:v>
      </x:c>
      <x:c r="I28" s="33" t="str">
        <x:v>2025-12-20</x:v>
      </x:c>
      <x:c r="J28" s="33" t="str">
        <x:v>2025-12-20</x:v>
      </x:c>
      <x:c r="K28" s="34" t="str">
        <x:v>دولار</x:v>
      </x:c>
      <x:c r="L28" s="37" t="n">
        <x:v>14</x:v>
      </x:c>
      <x:c r="M28" s="37" t="str"/>
      <x:c r="N28" s="34" t="str">
        <x:v>IMPORT</x:v>
      </x:c>
      <x:c r="O28" s="34" t="str">
        <x:v>EXPENSE</x:v>
      </x:c>
      <x:c r="P28" s="34" t="str">
        <x:v>MAINTENANCE</x:v>
      </x:c>
      <x:c r="Q28" s="34" t="str"/>
      <x:c r="R28" s="38" t="n">
        <x:v>15355</x:v>
      </x:c>
      <x:c r="S28" s="34" t="str">
        <x:v>Premises maintenance or fit-out. Invoice total controls; source detail sum was 31.</x:v>
      </x:c>
    </x:row>
    <x:row r="29">
      <x:c r="A29" s="33" t="n">
        <x:v>29</x:v>
      </x:c>
      <x:c r="B29" s="33" t="str">
        <x:v>DOC000116</x:v>
      </x:c>
      <x:c r="C29" s="34" t="str">
        <x:v>لاستيك هايدروليك 220 سم</x:v>
      </x:c>
      <x:c r="D29" s="34" t="n">
        <x:v>1</x:v>
      </x:c>
      <x:c r="E29" s="34" t="n">
        <x:v>3</x:v>
      </x:c>
      <x:c r="F29" s="34" t="str">
        <x:v>مفرد</x:v>
      </x:c>
      <x:c r="G29" s="34" t="str">
        <x:v>ديكورات روزكار</x:v>
      </x:c>
      <x:c r="H29" s="33" t="str">
        <x:v>DOC000116</x:v>
      </x:c>
      <x:c r="I29" s="33" t="str">
        <x:v>2025-12-20</x:v>
      </x:c>
      <x:c r="J29" s="33" t="str">
        <x:v>2025-12-20</x:v>
      </x:c>
      <x:c r="K29" s="34" t="str">
        <x:v>دولار</x:v>
      </x:c>
      <x:c r="L29" s="37" t="n">
        <x:v>3</x:v>
      </x:c>
      <x:c r="M29" s="37" t="str"/>
      <x:c r="N29" s="34" t="str">
        <x:v>IMPORT</x:v>
      </x:c>
      <x:c r="O29" s="34" t="str">
        <x:v>EXPENSE</x:v>
      </x:c>
      <x:c r="P29" s="34" t="str">
        <x:v>MAINTENANCE</x:v>
      </x:c>
      <x:c r="Q29" s="34" t="str"/>
      <x:c r="R29" s="38" t="n">
        <x:v>3290</x:v>
      </x:c>
      <x:c r="S29" s="34" t="str">
        <x:v>Premises maintenance or fit-out. Invoice total controls; source detail sum was 31.</x:v>
      </x:c>
    </x:row>
    <x:row r="30">
      <x:c r="A30" s="33" t="n">
        <x:v>30</x:v>
      </x:c>
      <x:c r="B30" s="33" t="str">
        <x:v>DOC000116</x:v>
      </x:c>
      <x:c r="C30" s="34" t="str">
        <x:v>قفل سكة كون</x:v>
      </x:c>
      <x:c r="D30" s="34" t="n">
        <x:v>1</x:v>
      </x:c>
      <x:c r="E30" s="34" t="n">
        <x:v>14</x:v>
      </x:c>
      <x:c r="F30" s="34" t="str">
        <x:v>مفرد</x:v>
      </x:c>
      <x:c r="G30" s="34" t="str">
        <x:v>ديكورات روزكار</x:v>
      </x:c>
      <x:c r="H30" s="33" t="str">
        <x:v>DOC000116</x:v>
      </x:c>
      <x:c r="I30" s="33" t="str">
        <x:v>2025-12-20</x:v>
      </x:c>
      <x:c r="J30" s="33" t="str">
        <x:v>2025-12-20</x:v>
      </x:c>
      <x:c r="K30" s="34" t="str">
        <x:v>دولار</x:v>
      </x:c>
      <x:c r="L30" s="37" t="n">
        <x:v>14</x:v>
      </x:c>
      <x:c r="M30" s="37" t="n">
        <x:v>34000</x:v>
      </x:c>
      <x:c r="N30" s="34" t="str">
        <x:v>IMPORT</x:v>
      </x:c>
      <x:c r="O30" s="34" t="str">
        <x:v>EXPENSE</x:v>
      </x:c>
      <x:c r="P30" s="34" t="str">
        <x:v>MAINTENANCE</x:v>
      </x:c>
      <x:c r="Q30" s="34" t="str"/>
      <x:c r="R30" s="38" t="n">
        <x:v>15355</x:v>
      </x:c>
      <x:c r="S30" s="34" t="str">
        <x:v>Premises maintenance or fit-out. Invoice total controls; source detail sum was 31.</x:v>
      </x:c>
    </x:row>
    <x:row r="31">
      <x:c r="A31" s="33" t="n">
        <x:v>31</x:v>
      </x:c>
      <x:c r="B31" s="33" t="str">
        <x:v>DOC000117</x:v>
      </x:c>
      <x:c r="C31" s="34" t="str">
        <x:v>اناء جرعة وزن ستنلس</x:v>
      </x:c>
      <x:c r="D31" s="34" t="n">
        <x:v>1</x:v>
      </x:c>
      <x:c r="E31" s="34" t="n">
        <x:v>15000</x:v>
      </x:c>
      <x:c r="F31" s="34" t="str">
        <x:v>مفرد</x:v>
      </x:c>
      <x:c r="G31" s="34" t="str">
        <x:v>شركة جزيرة النخيل</x:v>
      </x:c>
      <x:c r="H31" s="33" t="str">
        <x:v>58252</x:v>
      </x:c>
      <x:c r="I31" s="33" t="str">
        <x:v>2025-12-17</x:v>
      </x:c>
      <x:c r="J31" s="33" t="str">
        <x:v>2025-12-17</x:v>
      </x:c>
      <x:c r="K31" s="34" t="str">
        <x:v>دينار عراقي</x:v>
      </x:c>
      <x:c r="L31" s="37" t="n">
        <x:v>15000</x:v>
      </x:c>
      <x:c r="M31" s="37" t="str"/>
      <x:c r="N31" s="34" t="str">
        <x:v>IMPORT</x:v>
      </x:c>
      <x:c r="O31" s="34" t="str">
        <x:v>EXPENSE</x:v>
      </x:c>
      <x:c r="P31" s="34" t="str">
        <x:v>EQUIPMENT</x:v>
      </x:c>
      <x:c r="Q31" s="34" t="str"/>
      <x:c r="R31" s="38" t="n">
        <x:v>10274</x:v>
      </x:c>
      <x:c r="S31" s="34" t="str">
        <x:v>Low-value tool or equipment below capitalization threshold. Invoice total controls; source detail sum was 146000.</x:v>
      </x:c>
    </x:row>
    <x:row r="32">
      <x:c r="A32" s="33" t="n">
        <x:v>32</x:v>
      </x:c>
      <x:c r="B32" s="33" t="str">
        <x:v>DOC000117</x:v>
      </x:c>
      <x:c r="C32" s="34" t="str">
        <x:v>خاتم جرعات اسبريسو 51 ملم</x:v>
      </x:c>
      <x:c r="D32" s="34" t="n">
        <x:v>1</x:v>
      </x:c>
      <x:c r="E32" s="34" t="n">
        <x:v>7000</x:v>
      </x:c>
      <x:c r="F32" s="34" t="str">
        <x:v>مفرد</x:v>
      </x:c>
      <x:c r="G32" s="34" t="str">
        <x:v>شركة جزيرة النخيل</x:v>
      </x:c>
      <x:c r="H32" s="33" t="str">
        <x:v>58252</x:v>
      </x:c>
      <x:c r="I32" s="33" t="str">
        <x:v>2025-12-17</x:v>
      </x:c>
      <x:c r="J32" s="33" t="str">
        <x:v>2025-12-17</x:v>
      </x:c>
      <x:c r="K32" s="34" t="str">
        <x:v>دينار عراقي</x:v>
      </x:c>
      <x:c r="L32" s="37" t="n">
        <x:v>7000</x:v>
      </x:c>
      <x:c r="M32" s="37" t="str"/>
      <x:c r="N32" s="34" t="str">
        <x:v>IMPORT</x:v>
      </x:c>
      <x:c r="O32" s="34" t="str">
        <x:v>EXPENSE</x:v>
      </x:c>
      <x:c r="P32" s="34" t="str">
        <x:v>EQUIPMENT</x:v>
      </x:c>
      <x:c r="Q32" s="34" t="str"/>
      <x:c r="R32" s="38" t="n">
        <x:v>4795</x:v>
      </x:c>
      <x:c r="S32" s="34" t="str">
        <x:v>Low-value tool or equipment below capitalization threshold. Invoice total controls; source detail sum was 146000.</x:v>
      </x:c>
    </x:row>
    <x:row r="33">
      <x:c r="A33" s="33" t="n">
        <x:v>33</x:v>
      </x:c>
      <x:c r="B33" s="33" t="str">
        <x:v>DOC000117</x:v>
      </x:c>
      <x:c r="C33" s="34" t="str">
        <x:v>موزع تامبر51 ملم</x:v>
      </x:c>
      <x:c r="D33" s="34" t="n">
        <x:v>1</x:v>
      </x:c>
      <x:c r="E33" s="34" t="n">
        <x:v>25000</x:v>
      </x:c>
      <x:c r="F33" s="34" t="str">
        <x:v>مفرد</x:v>
      </x:c>
      <x:c r="G33" s="34" t="str">
        <x:v>شركة جزيرة النخيل</x:v>
      </x:c>
      <x:c r="H33" s="33" t="str">
        <x:v>58252</x:v>
      </x:c>
      <x:c r="I33" s="33" t="str">
        <x:v>2025-12-17</x:v>
      </x:c>
      <x:c r="J33" s="33" t="str">
        <x:v>2025-12-17</x:v>
      </x:c>
      <x:c r="K33" s="34" t="str">
        <x:v>دينار عراقي</x:v>
      </x:c>
      <x:c r="L33" s="37" t="n">
        <x:v>25000</x:v>
      </x:c>
      <x:c r="M33" s="37" t="str"/>
      <x:c r="N33" s="34" t="str">
        <x:v>IMPORT</x:v>
      </x:c>
      <x:c r="O33" s="34" t="str">
        <x:v>EXPENSE</x:v>
      </x:c>
      <x:c r="P33" s="34" t="str">
        <x:v>EQUIPMENT</x:v>
      </x:c>
      <x:c r="Q33" s="34" t="str"/>
      <x:c r="R33" s="38" t="n">
        <x:v>17123</x:v>
      </x:c>
      <x:c r="S33" s="34" t="str">
        <x:v>Low-value tool or equipment below capitalization threshold. Invoice total controls; source detail sum was 146000.</x:v>
      </x:c>
    </x:row>
    <x:row r="34">
      <x:c r="A34" s="33" t="n">
        <x:v>34</x:v>
      </x:c>
      <x:c r="B34" s="33" t="str">
        <x:v>DOC000117</x:v>
      </x:c>
      <x:c r="C34" s="34" t="str">
        <x:v>ميزان حرارة</x:v>
      </x:c>
      <x:c r="D34" s="34" t="n">
        <x:v>1</x:v>
      </x:c>
      <x:c r="E34" s="34" t="n">
        <x:v>15000</x:v>
      </x:c>
      <x:c r="F34" s="34" t="str">
        <x:v>مفرد</x:v>
      </x:c>
      <x:c r="G34" s="34" t="str">
        <x:v>شركة جزيرة النخيل</x:v>
      </x:c>
      <x:c r="H34" s="33" t="str">
        <x:v>58252</x:v>
      </x:c>
      <x:c r="I34" s="33" t="str">
        <x:v>2025-12-17</x:v>
      </x:c>
      <x:c r="J34" s="33" t="str">
        <x:v>2025-12-17</x:v>
      </x:c>
      <x:c r="K34" s="34" t="str">
        <x:v>دينار عراقي</x:v>
      </x:c>
      <x:c r="L34" s="37" t="n">
        <x:v>15000</x:v>
      </x:c>
      <x:c r="M34" s="37" t="str"/>
      <x:c r="N34" s="34" t="str">
        <x:v>IMPORT</x:v>
      </x:c>
      <x:c r="O34" s="34" t="str">
        <x:v>EXPENSE</x:v>
      </x:c>
      <x:c r="P34" s="34" t="str">
        <x:v>EQUIPMENT</x:v>
      </x:c>
      <x:c r="Q34" s="34" t="str"/>
      <x:c r="R34" s="38" t="n">
        <x:v>10274</x:v>
      </x:c>
      <x:c r="S34" s="34" t="str">
        <x:v>Low-value tool or equipment below capitalization threshold. Invoice total controls; source detail sum was 146000.</x:v>
      </x:c>
    </x:row>
    <x:row r="35">
      <x:c r="A35" s="33" t="n">
        <x:v>35</x:v>
      </x:c>
      <x:c r="B35" s="33" t="str">
        <x:v>DOC000117</x:v>
      </x:c>
      <x:c r="C35" s="34" t="str">
        <x:v>بخاخ ترطيب حبوب</x:v>
      </x:c>
      <x:c r="D35" s="34" t="n">
        <x:v>1</x:v>
      </x:c>
      <x:c r="E35" s="34" t="n">
        <x:v>9000</x:v>
      </x:c>
      <x:c r="F35" s="34" t="str">
        <x:v>مفرد</x:v>
      </x:c>
      <x:c r="G35" s="34" t="str">
        <x:v>شركة جزيرة النخيل</x:v>
      </x:c>
      <x:c r="H35" s="33" t="str">
        <x:v>58252</x:v>
      </x:c>
      <x:c r="I35" s="33" t="str">
        <x:v>2025-12-17</x:v>
      </x:c>
      <x:c r="J35" s="33" t="str">
        <x:v>2025-12-17</x:v>
      </x:c>
      <x:c r="K35" s="34" t="str">
        <x:v>دينار عراقي</x:v>
      </x:c>
      <x:c r="L35" s="37" t="n">
        <x:v>9000</x:v>
      </x:c>
      <x:c r="M35" s="37" t="str"/>
      <x:c r="N35" s="34" t="str">
        <x:v>IMPORT</x:v>
      </x:c>
      <x:c r="O35" s="34" t="str">
        <x:v>EXPENSE</x:v>
      </x:c>
      <x:c r="P35" s="34" t="str">
        <x:v>EQUIPMENT</x:v>
      </x:c>
      <x:c r="Q35" s="34" t="str"/>
      <x:c r="R35" s="38" t="n">
        <x:v>6164</x:v>
      </x:c>
      <x:c r="S35" s="34" t="str">
        <x:v>Low-value tool or equipment below capitalization threshold. Invoice total controls; source detail sum was 146000.</x:v>
      </x:c>
    </x:row>
    <x:row r="36">
      <x:c r="A36" s="33" t="n">
        <x:v>36</x:v>
      </x:c>
      <x:c r="B36" s="33" t="str">
        <x:v>DOC000117</x:v>
      </x:c>
      <x:c r="C36" s="34" t="str">
        <x:v>تامبر اسبريبسو</x:v>
      </x:c>
      <x:c r="D36" s="34" t="n">
        <x:v>1</x:v>
      </x:c>
      <x:c r="E36" s="34" t="n">
        <x:v>35000</x:v>
      </x:c>
      <x:c r="F36" s="34" t="str">
        <x:v>مفرد</x:v>
      </x:c>
      <x:c r="G36" s="34" t="str">
        <x:v>شركة جزيرة النخيل</x:v>
      </x:c>
      <x:c r="H36" s="33" t="str">
        <x:v>58252</x:v>
      </x:c>
      <x:c r="I36" s="33" t="str">
        <x:v>2025-12-17</x:v>
      </x:c>
      <x:c r="J36" s="33" t="str">
        <x:v>2025-12-17</x:v>
      </x:c>
      <x:c r="K36" s="34" t="str">
        <x:v>دينار عراقي</x:v>
      </x:c>
      <x:c r="L36" s="37" t="n">
        <x:v>35000</x:v>
      </x:c>
      <x:c r="M36" s="37" t="str"/>
      <x:c r="N36" s="34" t="str">
        <x:v>IMPORT</x:v>
      </x:c>
      <x:c r="O36" s="34" t="str">
        <x:v>EXPENSE</x:v>
      </x:c>
      <x:c r="P36" s="34" t="str">
        <x:v>EQUIPMENT</x:v>
      </x:c>
      <x:c r="Q36" s="34" t="str"/>
      <x:c r="R36" s="38" t="n">
        <x:v>23973</x:v>
      </x:c>
      <x:c r="S36" s="34" t="str">
        <x:v>Low-value tool or equipment below capitalization threshold. Invoice total controls; source detail sum was 146000.</x:v>
      </x:c>
    </x:row>
    <x:row r="37">
      <x:c r="A37" s="33" t="n">
        <x:v>37</x:v>
      </x:c>
      <x:c r="B37" s="33" t="str">
        <x:v>DOC000117</x:v>
      </x:c>
      <x:c r="C37" s="34" t="str">
        <x:v>فلتر يدة</x:v>
      </x:c>
      <x:c r="D37" s="34" t="n">
        <x:v>1</x:v>
      </x:c>
      <x:c r="E37" s="34" t="n">
        <x:v>40000</x:v>
      </x:c>
      <x:c r="F37" s="34" t="str">
        <x:v>مفرد</x:v>
      </x:c>
      <x:c r="G37" s="34" t="str">
        <x:v>شركة جزيرة النخيل</x:v>
      </x:c>
      <x:c r="H37" s="33" t="str">
        <x:v>58252</x:v>
      </x:c>
      <x:c r="I37" s="33" t="str">
        <x:v>2025-12-17</x:v>
      </x:c>
      <x:c r="J37" s="33" t="str">
        <x:v>2025-12-17</x:v>
      </x:c>
      <x:c r="K37" s="34" t="str">
        <x:v>دينار عراقي</x:v>
      </x:c>
      <x:c r="L37" s="37" t="n">
        <x:v>40000</x:v>
      </x:c>
      <x:c r="M37" s="37" t="n">
        <x:v>100000</x:v>
      </x:c>
      <x:c r="N37" s="34" t="str">
        <x:v>IMPORT</x:v>
      </x:c>
      <x:c r="O37" s="34" t="str">
        <x:v>EXPENSE</x:v>
      </x:c>
      <x:c r="P37" s="34" t="str">
        <x:v>EQUIPMENT</x:v>
      </x:c>
      <x:c r="Q37" s="34" t="str"/>
      <x:c r="R37" s="38" t="n">
        <x:v>27397</x:v>
      </x:c>
      <x:c r="S37" s="34" t="str">
        <x:v>Low-value tool or equipment below capitalization threshold. Invoice total controls; source detail sum was 146000.</x:v>
      </x:c>
    </x:row>
    <x:row r="38">
      <x:c r="A38" s="33" t="n">
        <x:v>38</x:v>
      </x:c>
      <x:c r="B38" s="33" t="str">
        <x:v>DOC000118</x:v>
      </x:c>
      <x:c r="C38" s="34" t="str">
        <x:v>مسدس صبغ كهرباء</x:v>
      </x:c>
      <x:c r="D38" s="34" t="n">
        <x:v>1</x:v>
      </x:c>
      <x:c r="E38" s="34" t="n">
        <x:v>20000</x:v>
      </x:c>
      <x:c r="F38" s="34" t="str">
        <x:v>مفرد</x:v>
      </x:c>
      <x:c r="G38" s="34" t="str">
        <x:v>انجيكو</x:v>
      </x:c>
      <x:c r="H38" s="33" t="str">
        <x:v>DOC000118</x:v>
      </x:c>
      <x:c r="I38" s="33" t="str">
        <x:v>2026-02-01</x:v>
      </x:c>
      <x:c r="J38" s="33" t="str">
        <x:v>2026-02-01</x:v>
      </x:c>
      <x:c r="K38" s="34" t="str">
        <x:v>دينار عراقي</x:v>
      </x:c>
      <x:c r="L38" s="37" t="n">
        <x:v>20000</x:v>
      </x:c>
      <x:c r="M38" s="37" t="n">
        <x:v>20000</x:v>
      </x:c>
      <x:c r="N38" s="34" t="str">
        <x:v>IMPORT</x:v>
      </x:c>
      <x:c r="O38" s="34" t="str">
        <x:v>EXPENSE</x:v>
      </x:c>
      <x:c r="P38" s="34" t="str">
        <x:v>MAINTENANCE</x:v>
      </x:c>
      <x:c r="Q38" s="34" t="str"/>
      <x:c r="R38" s="38" t="n">
        <x:v>20000</x:v>
      </x:c>
      <x:c r="S38" s="34" t="str">
        <x:v>Premises maintenance or fit-out. Date normalized from the workbook numeric cell to its visible day/month convention.</x:v>
      </x:c>
    </x:row>
    <x:row r="39">
      <x:c r="A39" s="33" t="n">
        <x:v>39</x:v>
      </x:c>
      <x:c r="B39" s="33" t="str">
        <x:v>DOC000119</x:v>
      </x:c>
      <x:c r="C39" s="34" t="str">
        <x:v>سلم ستاند 6 باية</x:v>
      </x:c>
      <x:c r="D39" s="34" t="n">
        <x:v>1</x:v>
      </x:c>
      <x:c r="E39" s="34" t="n">
        <x:v>70000</x:v>
      </x:c>
      <x:c r="F39" s="34" t="str">
        <x:v>مفرد</x:v>
      </x:c>
      <x:c r="G39" s="34" t="str">
        <x:v>انجيكو</x:v>
      </x:c>
      <x:c r="H39" s="33" t="str">
        <x:v>DOC000119</x:v>
      </x:c>
      <x:c r="I39" s="33" t="str">
        <x:v>2026-02-01</x:v>
      </x:c>
      <x:c r="J39" s="33" t="str">
        <x:v>2026-02-01</x:v>
      </x:c>
      <x:c r="K39" s="34" t="str">
        <x:v>دينار عراقي</x:v>
      </x:c>
      <x:c r="L39" s="37" t="n">
        <x:v>70000</x:v>
      </x:c>
      <x:c r="M39" s="37" t="n">
        <x:v>70000</x:v>
      </x:c>
      <x:c r="N39" s="34" t="str">
        <x:v>IMPORT</x:v>
      </x:c>
      <x:c r="O39" s="34" t="str">
        <x:v>EXPENSE</x:v>
      </x:c>
      <x:c r="P39" s="34" t="str">
        <x:v>EQUIPMENT</x:v>
      </x:c>
      <x:c r="Q39" s="34" t="str"/>
      <x:c r="R39" s="38" t="n">
        <x:v>70000</x:v>
      </x:c>
      <x:c r="S39" s="34" t="str">
        <x:v>Low-value tool or equipment below capitalization threshold. Date normalized from the workbook numeric cell to its visible day/month convention.</x:v>
      </x:c>
    </x:row>
    <x:row r="40">
      <x:c r="A40" s="33" t="n">
        <x:v>40</x:v>
      </x:c>
      <x:c r="B40" s="33" t="str">
        <x:v>DOC000120</x:v>
      </x:c>
      <x:c r="C40" s="34" t="str">
        <x:v>نصف سطل صبغ مرجان</x:v>
      </x:c>
      <x:c r="D40" s="34" t="n">
        <x:v>1</x:v>
      </x:c>
      <x:c r="E40" s="34" t="n">
        <x:v>25000</x:v>
      </x:c>
      <x:c r="F40" s="34" t="str">
        <x:v>مفرد</x:v>
      </x:c>
      <x:c r="G40" s="34" t="str">
        <x:v>ادوات النجار</x:v>
      </x:c>
      <x:c r="H40" s="33" t="str">
        <x:v>1204</x:v>
      </x:c>
      <x:c r="I40" s="33" t="str">
        <x:v>2026-02-01</x:v>
      </x:c>
      <x:c r="J40" s="33" t="str">
        <x:v>2026-02-01</x:v>
      </x:c>
      <x:c r="K40" s="34" t="str">
        <x:v>دينار عراقي</x:v>
      </x:c>
      <x:c r="L40" s="37" t="n">
        <x:v>25000</x:v>
      </x:c>
      <x:c r="M40" s="37" t="n">
        <x:v>25000</x:v>
      </x:c>
      <x:c r="N40" s="34" t="str">
        <x:v>IMPORT</x:v>
      </x:c>
      <x:c r="O40" s="34" t="str">
        <x:v>EXPENSE</x:v>
      </x:c>
      <x:c r="P40" s="34" t="str">
        <x:v>MAINTENANCE</x:v>
      </x:c>
      <x:c r="Q40" s="34" t="str"/>
      <x:c r="R40" s="38" t="n">
        <x:v>25000</x:v>
      </x:c>
      <x:c r="S40" s="34" t="str">
        <x:v>Premises maintenance or fit-out. Date normalized from the workbook numeric cell to its visible day/month convention.</x:v>
      </x:c>
    </x:row>
    <x:row r="41">
      <x:c r="A41" s="33" t="n">
        <x:v>41</x:v>
      </x:c>
      <x:c r="B41" s="33" t="str">
        <x:v>DOC000121</x:v>
      </x:c>
      <x:c r="C41" s="34" t="str">
        <x:v>سيار 10 متر ديلو</x:v>
      </x:c>
      <x:c r="D41" s="34" t="n">
        <x:v>1</x:v>
      </x:c>
      <x:c r="E41" s="34" t="n">
        <x:v>10000</x:v>
      </x:c>
      <x:c r="F41" s="34" t="str">
        <x:v>مفرد</x:v>
      </x:c>
      <x:c r="G41" s="34" t="str">
        <x:v>انجيكو</x:v>
      </x:c>
      <x:c r="H41" s="33" t="str">
        <x:v>DOC000121</x:v>
      </x:c>
      <x:c r="I41" s="33" t="str">
        <x:v>2026-02-01</x:v>
      </x:c>
      <x:c r="J41" s="33" t="str">
        <x:v>2026-02-01</x:v>
      </x:c>
      <x:c r="K41" s="34" t="str">
        <x:v>دينار عراقي</x:v>
      </x:c>
      <x:c r="L41" s="37" t="n">
        <x:v>10000</x:v>
      </x:c>
      <x:c r="M41" s="37" t="n">
        <x:v>10000</x:v>
      </x:c>
      <x:c r="N41" s="34" t="str">
        <x:v>IMPORT</x:v>
      </x:c>
      <x:c r="O41" s="34" t="str">
        <x:v>EXPENSE</x:v>
      </x:c>
      <x:c r="P41" s="34" t="str">
        <x:v>EQUIPMENT</x:v>
      </x:c>
      <x:c r="Q41" s="34" t="str"/>
      <x:c r="R41" s="38" t="n">
        <x:v>10000</x:v>
      </x:c>
      <x:c r="S41" s="34" t="str">
        <x:v>Low-value tool or equipment below capitalization threshold. Date normalized from the workbook numeric cell to its visible day/month convention.</x:v>
      </x:c>
    </x:row>
    <x:row r="42">
      <x:c r="A42" s="33" t="n">
        <x:v>42</x:v>
      </x:c>
      <x:c r="B42" s="33" t="str">
        <x:v>DOC000122</x:v>
      </x:c>
      <x:c r="C42" s="34" t="str">
        <x:v>مكينة ديلونجي</x:v>
      </x:c>
      <x:c r="D42" s="34" t="n">
        <x:v>1</x:v>
      </x:c>
      <x:c r="E42" s="34" t="n">
        <x:v>211000</x:v>
      </x:c>
      <x:c r="F42" s="34" t="str">
        <x:v>مفرد</x:v>
      </x:c>
      <x:c r="G42" s="34" t="str">
        <x:v>جزيرة النخيل</x:v>
      </x:c>
      <x:c r="H42" s="33" t="str">
        <x:v>56867</x:v>
      </x:c>
      <x:c r="I42" s="33" t="str">
        <x:v>2025-11-18</x:v>
      </x:c>
      <x:c r="J42" s="33" t="str">
        <x:v>2025-11-18</x:v>
      </x:c>
      <x:c r="K42" s="34" t="str">
        <x:v>دينار عراقي</x:v>
      </x:c>
      <x:c r="L42" s="37" t="n">
        <x:v>211000</x:v>
      </x:c>
      <x:c r="M42" s="37" t="str"/>
      <x:c r="N42" s="34" t="str">
        <x:v>IMPORT</x:v>
      </x:c>
      <x:c r="O42" s="34" t="str">
        <x:v>ASSET</x:v>
      </x:c>
      <x:c r="P42" s="34" t="str">
        <x:v>EQUIPMENT</x:v>
      </x:c>
      <x:c r="Q42" s="34" t="str"/>
      <x:c r="R42" s="38" t="n">
        <x:v>211000</x:v>
      </x:c>
      <x:c r="S42" s="34" t="str">
        <x:v>Durable item at or above IQD 100,000.</x:v>
      </x:c>
    </x:row>
    <x:row r="43">
      <x:c r="A43" s="33" t="n">
        <x:v>43</x:v>
      </x:c>
      <x:c r="B43" s="33" t="str">
        <x:v>DOC000122</x:v>
      </x:c>
      <x:c r="C43" s="34" t="str">
        <x:v>قهوة بريستوت اثيوبيا</x:v>
      </x:c>
      <x:c r="D43" s="34" t="n">
        <x:v>1</x:v>
      </x:c>
      <x:c r="E43" s="34" t="n">
        <x:v>12000</x:v>
      </x:c>
      <x:c r="F43" s="34" t="str">
        <x:v>مفرد</x:v>
      </x:c>
      <x:c r="G43" s="34" t="str">
        <x:v>جزيرة النخيل</x:v>
      </x:c>
      <x:c r="H43" s="33" t="str">
        <x:v>56867</x:v>
      </x:c>
      <x:c r="I43" s="33" t="str">
        <x:v>2025-11-18</x:v>
      </x:c>
      <x:c r="J43" s="33" t="str">
        <x:v>2025-11-18</x:v>
      </x:c>
      <x:c r="K43" s="34" t="str">
        <x:v>دينار عراقي</x:v>
      </x:c>
      <x:c r="L43" s="37" t="n">
        <x:v>12000</x:v>
      </x:c>
      <x:c r="M43" s="37" t="str"/>
      <x:c r="N43" s="34" t="str">
        <x:v>IMPORT</x:v>
      </x:c>
      <x:c r="O43" s="34" t="str">
        <x:v>INVENTORY</x:v>
      </x:c>
      <x:c r="P43" s="34" t="str">
        <x:v>GREEN_COFFEE</x:v>
      </x:c>
      <x:c r="Q43" s="34" t="str">
        <x:v>ROASTED</x:v>
      </x:c>
      <x:c r="R43" s="38" t="n">
        <x:v>12000</x:v>
      </x:c>
      <x:c r="S43" s="34" t="str">
        <x:v>Roasted/sample coffee stock.</x:v>
      </x:c>
    </x:row>
    <x:row r="44">
      <x:c r="A44" s="33" t="n">
        <x:v>44</x:v>
      </x:c>
      <x:c r="B44" s="33" t="str">
        <x:v>DOC000122</x:v>
      </x:c>
      <x:c r="C44" s="34" t="str">
        <x:v>قهوة بريستوت برازيل</x:v>
      </x:c>
      <x:c r="D44" s="34" t="n">
        <x:v>1</x:v>
      </x:c>
      <x:c r="E44" s="34" t="n">
        <x:v>12000</x:v>
      </x:c>
      <x:c r="F44" s="34" t="str">
        <x:v>مفرد</x:v>
      </x:c>
      <x:c r="G44" s="34" t="str">
        <x:v>جزيرة النخيل</x:v>
      </x:c>
      <x:c r="H44" s="33" t="str">
        <x:v>56867</x:v>
      </x:c>
      <x:c r="I44" s="33" t="str">
        <x:v>2025-11-18</x:v>
      </x:c>
      <x:c r="J44" s="33" t="str">
        <x:v>2025-11-18</x:v>
      </x:c>
      <x:c r="K44" s="34" t="str">
        <x:v>دينار عراقي</x:v>
      </x:c>
      <x:c r="L44" s="37" t="n">
        <x:v>12000</x:v>
      </x:c>
      <x:c r="M44" s="37" t="str"/>
      <x:c r="N44" s="34" t="str">
        <x:v>IMPORT</x:v>
      </x:c>
      <x:c r="O44" s="34" t="str">
        <x:v>INVENTORY</x:v>
      </x:c>
      <x:c r="P44" s="34" t="str">
        <x:v>GREEN_COFFEE</x:v>
      </x:c>
      <x:c r="Q44" s="34" t="str">
        <x:v>ROASTED</x:v>
      </x:c>
      <x:c r="R44" s="38" t="n">
        <x:v>12000</x:v>
      </x:c>
      <x:c r="S44" s="34" t="str">
        <x:v>Roasted/sample coffee stock.</x:v>
      </x:c>
    </x:row>
    <x:row r="45">
      <x:c r="A45" s="33" t="n">
        <x:v>45</x:v>
      </x:c>
      <x:c r="B45" s="33" t="str">
        <x:v>DOC000122</x:v>
      </x:c>
      <x:c r="C45" s="34" t="str">
        <x:v>قهوة بريستوت كولومبيا</x:v>
      </x:c>
      <x:c r="D45" s="34" t="n">
        <x:v>1</x:v>
      </x:c>
      <x:c r="E45" s="34" t="n">
        <x:v>12000</x:v>
      </x:c>
      <x:c r="F45" s="34" t="str">
        <x:v>مفرد</x:v>
      </x:c>
      <x:c r="G45" s="34" t="str">
        <x:v>جزيرة النخيل</x:v>
      </x:c>
      <x:c r="H45" s="33" t="str">
        <x:v>56867</x:v>
      </x:c>
      <x:c r="I45" s="33" t="str">
        <x:v>2025-11-18</x:v>
      </x:c>
      <x:c r="J45" s="33" t="str">
        <x:v>2025-11-18</x:v>
      </x:c>
      <x:c r="K45" s="34" t="str">
        <x:v>دينار عراقي</x:v>
      </x:c>
      <x:c r="L45" s="37" t="n">
        <x:v>12000</x:v>
      </x:c>
      <x:c r="M45" s="37" t="n">
        <x:v>247000</x:v>
      </x:c>
      <x:c r="N45" s="34" t="str">
        <x:v>IMPORT</x:v>
      </x:c>
      <x:c r="O45" s="34" t="str">
        <x:v>INVENTORY</x:v>
      </x:c>
      <x:c r="P45" s="34" t="str">
        <x:v>GREEN_COFFEE</x:v>
      </x:c>
      <x:c r="Q45" s="34" t="str">
        <x:v>ROASTED</x:v>
      </x:c>
      <x:c r="R45" s="38" t="n">
        <x:v>12000</x:v>
      </x:c>
      <x:c r="S45" s="34" t="str">
        <x:v>Roasted/sample coffee stock.</x:v>
      </x:c>
    </x:row>
    <x:row r="46">
      <x:c r="A46" s="33" t="n">
        <x:v>46</x:v>
      </x:c>
      <x:c r="B46" s="33" t="str">
        <x:v>DOC000123</x:v>
      </x:c>
      <x:c r="C46" s="34" t="str">
        <x:v>ميز ستيل</x:v>
      </x:c>
      <x:c r="D46" s="34" t="n">
        <x:v>1</x:v>
      </x:c>
      <x:c r="E46" s="34" t="n">
        <x:v>100</x:v>
      </x:c>
      <x:c r="F46" s="34" t="str">
        <x:v>مفرد</x:v>
      </x:c>
      <x:c r="G46" s="34" t="str">
        <x:v>اشتي ستيل</x:v>
      </x:c>
      <x:c r="H46" s="33" t="str">
        <x:v>171</x:v>
      </x:c>
      <x:c r="I46" s="33" t="str">
        <x:v>2026-02-07</x:v>
      </x:c>
      <x:c r="J46" s="33" t="str">
        <x:v>2026-02-07</x:v>
      </x:c>
      <x:c r="K46" s="34" t="str">
        <x:v>دولار</x:v>
      </x:c>
      <x:c r="L46" s="37" t="n">
        <x:v>100</x:v>
      </x:c>
      <x:c r="M46" s="37" t="n">
        <x:v>150000</x:v>
      </x:c>
      <x:c r="N46" s="34" t="str">
        <x:v>IMPORT</x:v>
      </x:c>
      <x:c r="O46" s="34" t="str">
        <x:v>ASSET</x:v>
      </x:c>
      <x:c r="P46" s="34" t="str">
        <x:v>EQUIPMENT</x:v>
      </x:c>
      <x:c r="Q46" s="34" t="str"/>
      <x:c r="R46" s="38" t="n">
        <x:v>150000</x:v>
      </x:c>
      <x:c r="S46" s="34" t="str">
        <x:v>Durable item at or above IQD 100,000. Date normalized from the workbook numeric cell to its visible day/month convention. Invoice total controls; source detail sum was 100.</x:v>
      </x:c>
    </x:row>
    <x:row r="47">
      <x:c r="A47" s="33" t="n">
        <x:v>47</x:v>
      </x:c>
      <x:c r="B47" s="33" t="str">
        <x:v>DOC000124</x:v>
      </x:c>
      <x:c r="C47" s="34" t="str">
        <x:v>سنك ستيل</x:v>
      </x:c>
      <x:c r="D47" s="34" t="n">
        <x:v>1</x:v>
      </x:c>
      <x:c r="E47" s="34" t="n">
        <x:v>130</x:v>
      </x:c>
      <x:c r="F47" s="34" t="str">
        <x:v>مفرد</x:v>
      </x:c>
      <x:c r="G47" s="34" t="str">
        <x:v>اشتي ستيل</x:v>
      </x:c>
      <x:c r="H47" s="33" t="str">
        <x:v>161</x:v>
      </x:c>
      <x:c r="I47" s="33" t="str">
        <x:v>2026-02-02</x:v>
      </x:c>
      <x:c r="J47" s="33" t="str">
        <x:v>2026-02-02</x:v>
      </x:c>
      <x:c r="K47" s="34" t="str">
        <x:v>دولار</x:v>
      </x:c>
      <x:c r="L47" s="37" t="n">
        <x:v>130</x:v>
      </x:c>
      <x:c r="M47" s="37" t="str"/>
      <x:c r="N47" s="34" t="str">
        <x:v>IMPORT</x:v>
      </x:c>
      <x:c r="O47" s="34" t="str">
        <x:v>ASSET</x:v>
      </x:c>
      <x:c r="P47" s="34" t="str">
        <x:v>EQUIPMENT</x:v>
      </x:c>
      <x:c r="Q47" s="34" t="str"/>
      <x:c r="R47" s="38" t="n">
        <x:v>195000</x:v>
      </x:c>
      <x:c r="S47" s="34" t="str">
        <x:v>Durable item at or above IQD 100,000. Date normalized from the workbook numeric cell to its visible day/month convention. Invoice total controls; source detail sum was 250.</x:v>
      </x:c>
    </x:row>
    <x:row r="48">
      <x:c r="A48" s="33" t="n">
        <x:v>48</x:v>
      </x:c>
      <x:c r="B48" s="33" t="str">
        <x:v>DOC000124</x:v>
      </x:c>
      <x:c r="C48" s="34" t="str">
        <x:v>ميز ستيل</x:v>
      </x:c>
      <x:c r="D48" s="34" t="n">
        <x:v>1</x:v>
      </x:c>
      <x:c r="E48" s="34" t="n">
        <x:v>120</x:v>
      </x:c>
      <x:c r="F48" s="34" t="str">
        <x:v>مفرد</x:v>
      </x:c>
      <x:c r="G48" s="34" t="str">
        <x:v>اشتي ستيل</x:v>
      </x:c>
      <x:c r="H48" s="33" t="str">
        <x:v>161</x:v>
      </x:c>
      <x:c r="I48" s="33" t="str">
        <x:v>2026-02-02</x:v>
      </x:c>
      <x:c r="J48" s="33" t="str">
        <x:v>2026-02-02</x:v>
      </x:c>
      <x:c r="K48" s="34" t="str">
        <x:v>دولار</x:v>
      </x:c>
      <x:c r="L48" s="37" t="n">
        <x:v>120</x:v>
      </x:c>
      <x:c r="M48" s="37" t="n">
        <x:v>375000</x:v>
      </x:c>
      <x:c r="N48" s="34" t="str">
        <x:v>IMPORT</x:v>
      </x:c>
      <x:c r="O48" s="34" t="str">
        <x:v>ASSET</x:v>
      </x:c>
      <x:c r="P48" s="34" t="str">
        <x:v>EQUIPMENT</x:v>
      </x:c>
      <x:c r="Q48" s="34" t="str"/>
      <x:c r="R48" s="38" t="n">
        <x:v>180000</x:v>
      </x:c>
      <x:c r="S48" s="34" t="str">
        <x:v>Durable item at or above IQD 100,000. Date normalized from the workbook numeric cell to its visible day/month convention. Invoice total controls; source detail sum was 250.</x:v>
      </x:c>
    </x:row>
    <x:row r="49">
      <x:c r="A49" s="33" t="n">
        <x:v>49</x:v>
      </x:c>
      <x:c r="B49" s="33" t="str">
        <x:v>DOC000125</x:v>
      </x:c>
      <x:c r="C49" s="34" t="str">
        <x:v>اجور شحن دولي مع اجور نقل داخلي</x:v>
      </x:c>
      <x:c r="D49" s="34" t="n">
        <x:v>1</x:v>
      </x:c>
      <x:c r="E49" s="34" t="n">
        <x:v>508000</x:v>
      </x:c>
      <x:c r="F49" s="34" t="str">
        <x:v>مفرد</x:v>
      </x:c>
      <x:c r="G49" s="34" t="str">
        <x:v>شيمال كروب</x:v>
      </x:c>
      <x:c r="H49" s="33" t="str">
        <x:v>258</x:v>
      </x:c>
      <x:c r="I49" s="33" t="str">
        <x:v>2026-04-15</x:v>
      </x:c>
      <x:c r="J49" s="33" t="str">
        <x:v>2026-04-15</x:v>
      </x:c>
      <x:c r="K49" s="34" t="str">
        <x:v>دينار عراقي</x:v>
      </x:c>
      <x:c r="L49" s="37" t="n">
        <x:v>508000</x:v>
      </x:c>
      <x:c r="M49" s="37" t="str"/>
      <x:c r="N49" s="34" t="str">
        <x:v>IMPORT</x:v>
      </x:c>
      <x:c r="O49" s="34" t="str">
        <x:v>SERVICE</x:v>
      </x:c>
      <x:c r="P49" s="34" t="str">
        <x:v>SHIPPING</x:v>
      </x:c>
      <x:c r="Q49" s="34" t="str"/>
      <x:c r="R49" s="38" t="n">
        <x:v>508000</x:v>
      </x:c>
      <x:c r="S49" s="34" t="str">
        <x:v>Freight, delivery, or customs service. Merged metadata from source row(s): 50.</x:v>
      </x:c>
    </x:row>
    <x:row r="50">
      <x:c r="A50" s="33" t="n">
        <x:v>50</x:v>
      </x:c>
      <x:c r="B50" s="33" t="str">
        <x:v>DOC000125</x:v>
      </x:c>
      <x:c r="C50" s="34" t="str"/>
      <x:c r="D50" s="34" t="str"/>
      <x:c r="E50" s="34" t="str"/>
      <x:c r="F50" s="34" t="str"/>
      <x:c r="G50" s="34" t="str">
        <x:v>شيمال كروب</x:v>
      </x:c>
      <x:c r="H50" s="33" t="str">
        <x:v>46</x:v>
      </x:c>
      <x:c r="I50" s="33" t="str">
        <x:v>2026-04-16</x:v>
      </x:c>
      <x:c r="J50" s="33" t="str">
        <x:v>2026-04-15</x:v>
      </x:c>
      <x:c r="K50" s="34" t="str"/>
      <x:c r="L50" s="37" t="str"/>
      <x:c r="M50" s="37" t="n">
        <x:v>508000</x:v>
      </x:c>
      <x:c r="N50" s="34" t="str">
        <x:v>METADATA</x:v>
      </x:c>
      <x:c r="O50" s="34" t="str"/>
      <x:c r="P50" s="34" t="str"/>
      <x:c r="Q50" s="34" t="str"/>
      <x:c r="R50" s="38" t="n">
        <x:v>0</x:v>
      </x:c>
      <x:c r="S50" s="34" t="str">
        <x:v>Merged into the invoice notes; no financial line created.</x:v>
      </x:c>
    </x:row>
    <x:row r="51">
      <x:c r="A51" s="33" t="n">
        <x:v>51</x:v>
      </x:c>
      <x:c r="B51" s="33" t="str">
        <x:v>DOC000126</x:v>
      </x:c>
      <x:c r="C51" s="34" t="str">
        <x:v>قهوة خام كوجي اثيوبيا</x:v>
      </x:c>
      <x:c r="D51" s="34" t="n">
        <x:v>30</x:v>
      </x:c>
      <x:c r="E51" s="34" t="n">
        <x:v>11500</x:v>
      </x:c>
      <x:c r="F51" s="34" t="str">
        <x:v>كيلو</x:v>
      </x:c>
      <x:c r="G51" s="34" t="str">
        <x:v>بوابة الرافدين للبن الخام</x:v>
      </x:c>
      <x:c r="H51" s="33" t="str">
        <x:v>1572309</x:v>
      </x:c>
      <x:c r="I51" s="33" t="str">
        <x:v>2026-03-15</x:v>
      </x:c>
      <x:c r="J51" s="33" t="str">
        <x:v>2026-03-15</x:v>
      </x:c>
      <x:c r="K51" s="34" t="str">
        <x:v>دينار عراقي</x:v>
      </x:c>
      <x:c r="L51" s="37" t="n">
        <x:v>345000</x:v>
      </x:c>
      <x:c r="M51" s="37" t="n">
        <x:v>345000</x:v>
      </x:c>
      <x:c r="N51" s="34" t="str">
        <x:v>IMPORT</x:v>
      </x:c>
      <x:c r="O51" s="34" t="str">
        <x:v>INVENTORY</x:v>
      </x:c>
      <x:c r="P51" s="34" t="str">
        <x:v>GREEN_COFFEE</x:v>
      </x:c>
      <x:c r="Q51" s="34" t="str">
        <x:v>GREEN_COFFEE</x:v>
      </x:c>
      <x:c r="R51" s="38" t="n">
        <x:v>345000</x:v>
      </x:c>
      <x:c r="S51" s="34" t="str">
        <x:v>Green coffee stock.</x:v>
      </x:c>
    </x:row>
    <x:row r="52">
      <x:c r="A52" s="33" t="n">
        <x:v>52</x:v>
      </x:c>
      <x:c r="B52" s="33" t="str">
        <x:v>DOC000127</x:v>
      </x:c>
      <x:c r="C52" s="34" t="str">
        <x:v>طاحونة قهوة يدوية</x:v>
      </x:c>
      <x:c r="D52" s="34" t="n">
        <x:v>1</x:v>
      </x:c>
      <x:c r="E52" s="34" t="n">
        <x:v>125000</x:v>
      </x:c>
      <x:c r="F52" s="34" t="str">
        <x:v>مفرد</x:v>
      </x:c>
      <x:c r="G52" s="34" t="str">
        <x:v>فنجال</x:v>
      </x:c>
      <x:c r="H52" s="33" t="str">
        <x:v>DOC000127</x:v>
      </x:c>
      <x:c r="I52" s="33" t="str">
        <x:v>2025-12-01</x:v>
      </x:c>
      <x:c r="J52" s="33" t="str">
        <x:v>2025-12-01</x:v>
      </x:c>
      <x:c r="K52" s="34" t="str">
        <x:v>دينار عراقي</x:v>
      </x:c>
      <x:c r="L52" s="37" t="n">
        <x:v>125000</x:v>
      </x:c>
      <x:c r="M52" s="37" t="n">
        <x:v>125000</x:v>
      </x:c>
      <x:c r="N52" s="34" t="str">
        <x:v>IMPORT</x:v>
      </x:c>
      <x:c r="O52" s="34" t="str">
        <x:v>ASSET</x:v>
      </x:c>
      <x:c r="P52" s="34" t="str">
        <x:v>EQUIPMENT</x:v>
      </x:c>
      <x:c r="Q52" s="34" t="str"/>
      <x:c r="R52" s="38" t="n">
        <x:v>125000</x:v>
      </x:c>
      <x:c r="S52" s="34" t="str">
        <x:v>Durable item at or above IQD 100,000. Date normalized from the workbook numeric cell to its visible day/month convention.</x:v>
      </x:c>
    </x:row>
    <x:row r="53">
      <x:c r="A53" s="33" t="n">
        <x:v>53</x:v>
      </x:c>
      <x:c r="B53" s="33" t="str">
        <x:v>DOC000128</x:v>
      </x:c>
      <x:c r="C53" s="34" t="str">
        <x:v>تاجير محل مع تامينات مع عمولة دلال</x:v>
      </x:c>
      <x:c r="D53" s="34" t="n">
        <x:v>1</x:v>
      </x:c>
      <x:c r="E53" s="34" t="n">
        <x:v>400000</x:v>
      </x:c>
      <x:c r="F53" s="34" t="str">
        <x:v>مفرد</x:v>
      </x:c>
      <x:c r="G53" s="34" t="str">
        <x:v>عقارات نعمان عولا حاجى</x:v>
      </x:c>
      <x:c r="H53" s="33" t="str">
        <x:v>DOC000128</x:v>
      </x:c>
      <x:c r="I53" s="33" t="str">
        <x:v>2025-12-17</x:v>
      </x:c>
      <x:c r="J53" s="33" t="str">
        <x:v>2025-12-17</x:v>
      </x:c>
      <x:c r="K53" s="34" t="str">
        <x:v>دينار عراقي</x:v>
      </x:c>
      <x:c r="L53" s="37" t="n">
        <x:v>400000</x:v>
      </x:c>
      <x:c r="M53" s="37" t="n">
        <x:v>400000</x:v>
      </x:c>
      <x:c r="N53" s="34" t="str">
        <x:v>IMPORT</x:v>
      </x:c>
      <x:c r="O53" s="34" t="str">
        <x:v>SERVICE</x:v>
      </x:c>
      <x:c r="P53" s="34" t="str">
        <x:v>RENT</x:v>
      </x:c>
      <x:c r="Q53" s="34" t="str"/>
      <x:c r="R53" s="38" t="n">
        <x:v>400000</x:v>
      </x:c>
      <x:c r="S53" s="34" t="str">
        <x:v>Rent, deposit, or broker cost.</x:v>
      </x:c>
    </x:row>
    <x:row r="54">
      <x:c r="A54" s="33" t="n">
        <x:v>54</x:v>
      </x:c>
      <x:c r="B54" s="33" t="str">
        <x:v>DOC000129</x:v>
      </x:c>
      <x:c r="C54" s="34" t="str">
        <x:v>جهاز كبس تفريغ هواء</x:v>
      </x:c>
      <x:c r="D54" s="34" t="n">
        <x:v>1</x:v>
      </x:c>
      <x:c r="E54" s="34" t="n">
        <x:v>28000</x:v>
      </x:c>
      <x:c r="F54" s="34" t="str">
        <x:v>مفرد</x:v>
      </x:c>
      <x:c r="G54" s="34" t="str">
        <x:v>المختصر</x:v>
      </x:c>
      <x:c r="H54" s="33" t="str">
        <x:v>100113770</x:v>
      </x:c>
      <x:c r="I54" s="33" t="str">
        <x:v>2026-01-19</x:v>
      </x:c>
      <x:c r="J54" s="33" t="str">
        <x:v>2026-01-19</x:v>
      </x:c>
      <x:c r="K54" s="34" t="str">
        <x:v>دينار عراقي</x:v>
      </x:c>
      <x:c r="L54" s="37" t="n">
        <x:v>28000</x:v>
      </x:c>
      <x:c r="M54" s="37" t="n">
        <x:v>28000</x:v>
      </x:c>
      <x:c r="N54" s="34" t="str">
        <x:v>IMPORT</x:v>
      </x:c>
      <x:c r="O54" s="34" t="str">
        <x:v>EXPENSE</x:v>
      </x:c>
      <x:c r="P54" s="34" t="str">
        <x:v>EQUIPMENT</x:v>
      </x:c>
      <x:c r="Q54" s="34" t="str"/>
      <x:c r="R54" s="38" t="n">
        <x:v>28000</x:v>
      </x:c>
      <x:c r="S54" s="34" t="str">
        <x:v>Low-value tool or equipment below capitalization threshold.</x:v>
      </x:c>
    </x:row>
    <x:row r="55">
      <x:c r="A55" s="33" t="n">
        <x:v>55</x:v>
      </x:c>
      <x:c r="B55" s="33" t="str">
        <x:v>DOC000130</x:v>
      </x:c>
      <x:c r="C55" s="34" t="str">
        <x:v>جهاز تعبئة حبوب 100 غم</x:v>
      </x:c>
      <x:c r="D55" s="34" t="n">
        <x:v>1</x:v>
      </x:c>
      <x:c r="E55" s="34" t="n">
        <x:v>250000</x:v>
      </x:c>
      <x:c r="F55" s="34" t="str">
        <x:v>مفرد</x:v>
      </x:c>
      <x:c r="G55" s="34" t="str">
        <x:v>مكائن سيف</x:v>
      </x:c>
      <x:c r="H55" s="33" t="str">
        <x:v>205</x:v>
      </x:c>
      <x:c r="I55" s="33" t="str">
        <x:v>2026-02-19</x:v>
      </x:c>
      <x:c r="J55" s="33" t="str">
        <x:v>2026-02-19</x:v>
      </x:c>
      <x:c r="K55" s="34" t="str">
        <x:v>دينار عراقي</x:v>
      </x:c>
      <x:c r="L55" s="37" t="n">
        <x:v>250000</x:v>
      </x:c>
      <x:c r="M55" s="37" t="str"/>
      <x:c r="N55" s="34" t="str">
        <x:v>IMPORT</x:v>
      </x:c>
      <x:c r="O55" s="34" t="str">
        <x:v>ASSET</x:v>
      </x:c>
      <x:c r="P55" s="34" t="str">
        <x:v>EQUIPMENT</x:v>
      </x:c>
      <x:c r="Q55" s="34" t="str"/>
      <x:c r="R55" s="38" t="n">
        <x:v>250000</x:v>
      </x:c>
      <x:c r="S55" s="34" t="str">
        <x:v>Durable item at or above IQD 100,000.</x:v>
      </x:c>
    </x:row>
    <x:row r="56">
      <x:c r="A56" s="33" t="n">
        <x:v>56</x:v>
      </x:c>
      <x:c r="B56" s="33" t="str">
        <x:v>DOC000130</x:v>
      </x:c>
      <x:c r="C56" s="34" t="str">
        <x:v>جهاز لحام اكياس 20سم</x:v>
      </x:c>
      <x:c r="D56" s="34" t="n">
        <x:v>1</x:v>
      </x:c>
      <x:c r="E56" s="34" t="n">
        <x:v>25000</x:v>
      </x:c>
      <x:c r="F56" s="34" t="str">
        <x:v>مفرد</x:v>
      </x:c>
      <x:c r="G56" s="34" t="str">
        <x:v>مكائن سيف</x:v>
      </x:c>
      <x:c r="H56" s="33" t="str">
        <x:v>205</x:v>
      </x:c>
      <x:c r="I56" s="33" t="str">
        <x:v>2026-02-19</x:v>
      </x:c>
      <x:c r="J56" s="33" t="str">
        <x:v>2026-02-19</x:v>
      </x:c>
      <x:c r="K56" s="34" t="str">
        <x:v>دينار عراقي</x:v>
      </x:c>
      <x:c r="L56" s="37" t="n">
        <x:v>25000</x:v>
      </x:c>
      <x:c r="M56" s="37" t="str"/>
      <x:c r="N56" s="34" t="str">
        <x:v>IMPORT</x:v>
      </x:c>
      <x:c r="O56" s="34" t="str">
        <x:v>EXPENSE</x:v>
      </x:c>
      <x:c r="P56" s="34" t="str">
        <x:v>EQUIPMENT</x:v>
      </x:c>
      <x:c r="Q56" s="34" t="str"/>
      <x:c r="R56" s="38" t="n">
        <x:v>25000</x:v>
      </x:c>
      <x:c r="S56" s="34" t="str">
        <x:v>Low-value packaging equipment below capitalization threshold.</x:v>
      </x:c>
    </x:row>
    <x:row r="57">
      <x:c r="A57" s="33" t="n">
        <x:v>57</x:v>
      </x:c>
      <x:c r="B57" s="33" t="str">
        <x:v>DOC000130</x:v>
      </x:c>
      <x:c r="C57" s="34" t="str">
        <x:v>ليبل يدوي</x:v>
      </x:c>
      <x:c r="D57" s="34" t="n">
        <x:v>1</x:v>
      </x:c>
      <x:c r="E57" s="34" t="n">
        <x:v>150000</x:v>
      </x:c>
      <x:c r="F57" s="34" t="str">
        <x:v>مفرد</x:v>
      </x:c>
      <x:c r="G57" s="34" t="str">
        <x:v>مكائن سيف</x:v>
      </x:c>
      <x:c r="H57" s="33" t="str">
        <x:v>205</x:v>
      </x:c>
      <x:c r="I57" s="33" t="str">
        <x:v>2026-02-19</x:v>
      </x:c>
      <x:c r="J57" s="33" t="str">
        <x:v>2026-02-19</x:v>
      </x:c>
      <x:c r="K57" s="34" t="str">
        <x:v>دينار عراقي</x:v>
      </x:c>
      <x:c r="L57" s="37" t="n">
        <x:v>150000</x:v>
      </x:c>
      <x:c r="M57" s="37" t="n">
        <x:v>425000</x:v>
      </x:c>
      <x:c r="N57" s="34" t="str">
        <x:v>IMPORT</x:v>
      </x:c>
      <x:c r="O57" s="34" t="str">
        <x:v>ASSET</x:v>
      </x:c>
      <x:c r="P57" s="34" t="str">
        <x:v>EQUIPMENT</x:v>
      </x:c>
      <x:c r="Q57" s="34" t="str"/>
      <x:c r="R57" s="38" t="n">
        <x:v>150000</x:v>
      </x:c>
      <x:c r="S57" s="34" t="str">
        <x:v>Durable item at or above IQD 100,000.</x:v>
      </x:c>
    </x:row>
    <x:row r="58">
      <x:c r="A58" s="33" t="n">
        <x:v>58</x:v>
      </x:c>
      <x:c r="B58" s="33" t="str">
        <x:v>DOC000131</x:v>
      </x:c>
      <x:c r="C58" s="34" t="str">
        <x:v>ملاعق تذوق</x:v>
      </x:c>
      <x:c r="D58" s="34" t="n">
        <x:v>30</x:v>
      </x:c>
      <x:c r="E58" s="34" t="n">
        <x:v>0.8833333333333333</x:v>
      </x:c>
      <x:c r="F58" s="34" t="str">
        <x:v>مفرد</x:v>
      </x:c>
      <x:c r="G58" s="34" t="str">
        <x:v>اوردري</x:v>
      </x:c>
      <x:c r="H58" s="33" t="str">
        <x:v>17C025-251204131954</x:v>
      </x:c>
      <x:c r="I58" s="33" t="str">
        <x:v>2025-12-04</x:v>
      </x:c>
      <x:c r="J58" s="33" t="str">
        <x:v>2025-12-04</x:v>
      </x:c>
      <x:c r="K58" s="34" t="str">
        <x:v>دولار</x:v>
      </x:c>
      <x:c r="L58" s="37" t="n">
        <x:v>26.5</x:v>
      </x:c>
      <x:c r="M58" s="37" t="str"/>
      <x:c r="N58" s="34" t="str">
        <x:v>IMPORT</x:v>
      </x:c>
      <x:c r="O58" s="34" t="str">
        <x:v>INVENTORY</x:v>
      </x:c>
      <x:c r="P58" s="34" t="str">
        <x:v>OVERHEAD</x:v>
      </x:c>
      <x:c r="Q58" s="34" t="str">
        <x:v>PRODUCTION_SUPPLY</x:v>
      </x:c>
      <x:c r="R58" s="38" t="n">
        <x:v>40501</x:v>
      </x:c>
      <x:c r="S58" s="34" t="str">
        <x:v>Production and tasting supply. Date normalized from the workbook numeric cell to its visible day/month convention. Invoice total controls; source detail sum was 734.13. Included fees allocated into item costs: عمولة اوردري.</x:v>
      </x:c>
    </x:row>
    <x:row r="59">
      <x:c r="A59" s="33" t="n">
        <x:v>59</x:v>
      </x:c>
      <x:c r="B59" s="33" t="str">
        <x:v>DOC000131</x:v>
      </x:c>
      <x:c r="C59" s="34" t="str">
        <x:v>جهاز كبس حراري</x:v>
      </x:c>
      <x:c r="D59" s="34" t="n">
        <x:v>1</x:v>
      </x:c>
      <x:c r="E59" s="34" t="n">
        <x:v>624.34</x:v>
      </x:c>
      <x:c r="F59" s="34" t="str">
        <x:v>مفرد</x:v>
      </x:c>
      <x:c r="G59" s="34" t="str">
        <x:v>اوردري</x:v>
      </x:c>
      <x:c r="H59" s="33" t="str">
        <x:v>17C025-251204131954</x:v>
      </x:c>
      <x:c r="I59" s="33" t="str">
        <x:v>2025-12-04</x:v>
      </x:c>
      <x:c r="J59" s="33" t="str">
        <x:v>2025-12-04</x:v>
      </x:c>
      <x:c r="K59" s="34" t="str">
        <x:v>دولار</x:v>
      </x:c>
      <x:c r="L59" s="37" t="n">
        <x:v>624.34</x:v>
      </x:c>
      <x:c r="M59" s="37" t="str"/>
      <x:c r="N59" s="34" t="str">
        <x:v>IMPORT</x:v>
      </x:c>
      <x:c r="O59" s="34" t="str">
        <x:v>ASSET</x:v>
      </x:c>
      <x:c r="P59" s="34" t="str">
        <x:v>EQUIPMENT</x:v>
      </x:c>
      <x:c r="Q59" s="34" t="str"/>
      <x:c r="R59" s="38" t="n">
        <x:v>954197</x:v>
      </x:c>
      <x:c r="S59" s="34" t="str">
        <x:v>Durable item at or above IQD 100,000. Date normalized from the workbook numeric cell to its visible day/month convention. Invoice total controls; source detail sum was 734.13. Included fees allocated into item costs: عمولة اوردري.</x:v>
      </x:c>
    </x:row>
    <x:row r="60">
      <x:c r="A60" s="33" t="n">
        <x:v>60</x:v>
      </x:c>
      <x:c r="B60" s="33" t="str">
        <x:v>DOC000131</x:v>
      </x:c>
      <x:c r="C60" s="34" t="str">
        <x:v>كاسة تذوق بلاستك</x:v>
      </x:c>
      <x:c r="D60" s="34" t="n">
        <x:v>30</x:v>
      </x:c>
      <x:c r="E60" s="34" t="n">
        <x:v>2.296666666666667</x:v>
      </x:c>
      <x:c r="F60" s="34" t="str">
        <x:v>مفرد</x:v>
      </x:c>
      <x:c r="G60" s="34" t="str">
        <x:v>اوردري</x:v>
      </x:c>
      <x:c r="H60" s="33" t="str">
        <x:v>17C025-251204131954</x:v>
      </x:c>
      <x:c r="I60" s="33" t="str">
        <x:v>2025-12-04</x:v>
      </x:c>
      <x:c r="J60" s="33" t="str">
        <x:v>2025-12-04</x:v>
      </x:c>
      <x:c r="K60" s="34" t="str">
        <x:v>دولار</x:v>
      </x:c>
      <x:c r="L60" s="37" t="n">
        <x:v>68.9</x:v>
      </x:c>
      <x:c r="M60" s="37" t="str"/>
      <x:c r="N60" s="34" t="str">
        <x:v>IMPORT</x:v>
      </x:c>
      <x:c r="O60" s="34" t="str">
        <x:v>INVENTORY</x:v>
      </x:c>
      <x:c r="P60" s="34" t="str">
        <x:v>OVERHEAD</x:v>
      </x:c>
      <x:c r="Q60" s="34" t="str">
        <x:v>PRODUCTION_SUPPLY</x:v>
      </x:c>
      <x:c r="R60" s="38" t="n">
        <x:v>105302</x:v>
      </x:c>
      <x:c r="S60" s="34" t="str">
        <x:v>Production and tasting supply. Date normalized from the workbook numeric cell to its visible day/month convention. Invoice total controls; source detail sum was 734.13. Included fees allocated into item costs: عمولة اوردري.</x:v>
      </x:c>
    </x:row>
    <x:row r="61">
      <x:c r="A61" s="33" t="n">
        <x:v>61</x:v>
      </x:c>
      <x:c r="B61" s="33" t="str">
        <x:v>DOC000131</x:v>
      </x:c>
      <x:c r="C61" s="34" t="str">
        <x:v>عمولة اوردري</x:v>
      </x:c>
      <x:c r="D61" s="34" t="n">
        <x:v>1</x:v>
      </x:c>
      <x:c r="E61" s="34" t="n">
        <x:v>14.39</x:v>
      </x:c>
      <x:c r="F61" s="34" t="str">
        <x:v>مفرد</x:v>
      </x:c>
      <x:c r="G61" s="34" t="str">
        <x:v>اوردري</x:v>
      </x:c>
      <x:c r="H61" s="33" t="str">
        <x:v>17C025-251204131954</x:v>
      </x:c>
      <x:c r="I61" s="33" t="str">
        <x:v>2025-12-04</x:v>
      </x:c>
      <x:c r="J61" s="33" t="str">
        <x:v>2025-12-04</x:v>
      </x:c>
      <x:c r="K61" s="34" t="str">
        <x:v>دولار</x:v>
      </x:c>
      <x:c r="L61" s="37" t="n">
        <x:v>14.39</x:v>
      </x:c>
      <x:c r="M61" s="37" t="n">
        <x:v>1100000</x:v>
      </x:c>
      <x:c r="N61" s="34" t="str">
        <x:v>ALLOCATED</x:v>
      </x:c>
      <x:c r="O61" s="34" t="str"/>
      <x:c r="P61" s="34" t="str"/>
      <x:c r="Q61" s="34" t="str"/>
      <x:c r="R61" s="38" t="n">
        <x:v>0</x:v>
      </x:c>
      <x:c r="S61" s="34" t="str">
        <x:v>Allocated proportionally into the retained invoice item costs; not imported as a separate expense line.</x:v>
      </x:c>
    </x:row>
    <x:row r="62">
      <x:c r="A62" s="33" t="n">
        <x:v>62</x:v>
      </x:c>
      <x:c r="B62" s="33" t="str">
        <x:v>DOC000132</x:v>
      </x:c>
      <x:c r="C62" s="34" t="str">
        <x:v>محمصة جيني كافيه</x:v>
      </x:c>
      <x:c r="D62" s="34" t="n">
        <x:v>1</x:v>
      </x:c>
      <x:c r="E62" s="34" t="n">
        <x:v>625</x:v>
      </x:c>
      <x:c r="F62" s="34" t="str">
        <x:v>مفرد</x:v>
      </x:c>
      <x:c r="G62" s="34" t="str">
        <x:v>اوردري</x:v>
      </x:c>
      <x:c r="H62" s="33" t="str">
        <x:v>17C025-251107091916</x:v>
      </x:c>
      <x:c r="I62" s="33" t="str">
        <x:v>2025-11-07</x:v>
      </x:c>
      <x:c r="J62" s="33" t="str">
        <x:v>2025-11-07</x:v>
      </x:c>
      <x:c r="K62" s="34" t="str">
        <x:v>دولار</x:v>
      </x:c>
      <x:c r="L62" s="37" t="n">
        <x:v>625</x:v>
      </x:c>
      <x:c r="M62" s="37" t="n">
        <x:v>890000</x:v>
      </x:c>
      <x:c r="N62" s="34" t="str">
        <x:v>IMPORT</x:v>
      </x:c>
      <x:c r="O62" s="34" t="str">
        <x:v>ASSET</x:v>
      </x:c>
      <x:c r="P62" s="34" t="str">
        <x:v>EQUIPMENT</x:v>
      </x:c>
      <x:c r="Q62" s="34" t="str"/>
      <x:c r="R62" s="38" t="n">
        <x:v>890000</x:v>
      </x:c>
      <x:c r="S62" s="34" t="str">
        <x:v>Durable item at or above IQD 100,000. Date normalized from the workbook numeric cell to its visible day/month convention. Invoice total controls; source detail sum was 625.</x:v>
      </x:c>
    </x:row>
    <x:row r="63">
      <x:c r="A63" s="33" t="n">
        <x:v>63</x:v>
      </x:c>
      <x:c r="B63" s="33" t="str">
        <x:v>DOC000133</x:v>
      </x:c>
      <x:c r="C63" s="34" t="str">
        <x:v>طاحونة قهوة 98 ملم</x:v>
      </x:c>
      <x:c r="D63" s="34" t="n">
        <x:v>1</x:v>
      </x:c>
      <x:c r="E63" s="34" t="n">
        <x:v>990</x:v>
      </x:c>
      <x:c r="F63" s="34" t="str">
        <x:v>مفرد</x:v>
      </x:c>
      <x:c r="G63" s="34" t="str">
        <x:v>اوردري</x:v>
      </x:c>
      <x:c r="H63" s="33" t="str">
        <x:v>17C025-251107091618</x:v>
      </x:c>
      <x:c r="I63" s="33" t="str">
        <x:v>2025-11-07</x:v>
      </x:c>
      <x:c r="J63" s="33" t="str">
        <x:v>2025-11-07</x:v>
      </x:c>
      <x:c r="K63" s="34" t="str">
        <x:v>دولار</x:v>
      </x:c>
      <x:c r="L63" s="37" t="n">
        <x:v>990</x:v>
      </x:c>
      <x:c r="M63" s="37" t="n">
        <x:v>1410000</x:v>
      </x:c>
      <x:c r="N63" s="34" t="str">
        <x:v>IMPORT</x:v>
      </x:c>
      <x:c r="O63" s="34" t="str">
        <x:v>ASSET</x:v>
      </x:c>
      <x:c r="P63" s="34" t="str">
        <x:v>EQUIPMENT</x:v>
      </x:c>
      <x:c r="Q63" s="34" t="str"/>
      <x:c r="R63" s="38" t="n">
        <x:v>1410000</x:v>
      </x:c>
      <x:c r="S63" s="34" t="str">
        <x:v>Durable item at or above IQD 100,000. Date normalized from the workbook numeric cell to its visible day/month convention. Invoice total controls; source detail sum was 990.</x:v>
      </x:c>
    </x:row>
    <x:row r="64">
      <x:c r="A64" s="33" t="n">
        <x:v>64</x:v>
      </x:c>
      <x:c r="B64" s="33" t="str">
        <x:v>DOC000134</x:v>
      </x:c>
      <x:c r="C64" s="34" t="str">
        <x:v>اكياس قهوة مختصة</x:v>
      </x:c>
      <x:c r="D64" s="34" t="n">
        <x:v>1500</x:v>
      </x:c>
      <x:c r="E64" s="34" t="n">
        <x:v>0.34</x:v>
      </x:c>
      <x:c r="F64" s="34" t="str">
        <x:v>مفرد</x:v>
      </x:c>
      <x:c r="G64" s="34" t="str">
        <x:v>علي بابا</x:v>
      </x:c>
      <x:c r="H64" s="33" t="str">
        <x:v>'286748846501025867</x:v>
      </x:c>
      <x:c r="I64" s="33" t="str">
        <x:v>2025-12-24</x:v>
      </x:c>
      <x:c r="J64" s="33" t="str">
        <x:v>2025-12-24</x:v>
      </x:c>
      <x:c r="K64" s="34" t="str">
        <x:v>دولار</x:v>
      </x:c>
      <x:c r="L64" s="37" t="n">
        <x:v>510</x:v>
      </x:c>
      <x:c r="M64" s="37" t="n">
        <x:v>691500</x:v>
      </x:c>
      <x:c r="N64" s="34" t="str">
        <x:v>IMPORT</x:v>
      </x:c>
      <x:c r="O64" s="34" t="str">
        <x:v>INVENTORY</x:v>
      </x:c>
      <x:c r="P64" s="34" t="str">
        <x:v>PACKAGING</x:v>
      </x:c>
      <x:c r="Q64" s="34" t="str">
        <x:v>PACKAGING</x:v>
      </x:c>
      <x:c r="R64" s="38" t="n">
        <x:v>691500</x:v>
      </x:c>
      <x:c r="S64" s="34" t="str">
        <x:v>Packaging stock. Invoice total controls; source detail sum was 510.</x:v>
      </x:c>
    </x:row>
    <x:row r="65">
      <x:c r="A65" s="33" t="n">
        <x:v>65</x:v>
      </x:c>
      <x:c r="B65" s="33" t="str">
        <x:v>DOC000135</x:v>
      </x:c>
      <x:c r="C65" s="34" t="str">
        <x:v>اكياس تقطير</x:v>
      </x:c>
      <x:c r="D65" s="34" t="n">
        <x:v>5000</x:v>
      </x:c>
      <x:c r="E65" s="34" t="n">
        <x:v>0.014</x:v>
      </x:c>
      <x:c r="F65" s="34" t="str">
        <x:v>مفرد</x:v>
      </x:c>
      <x:c r="G65" s="34" t="str">
        <x:v>علي بابا</x:v>
      </x:c>
      <x:c r="H65" s="33" t="str">
        <x:v>'294938623001025867</x:v>
      </x:c>
      <x:c r="I65" s="33" t="str">
        <x:v>2026-02-17</x:v>
      </x:c>
      <x:c r="J65" s="33" t="str">
        <x:v>2026-02-17</x:v>
      </x:c>
      <x:c r="K65" s="34" t="str">
        <x:v>دولار</x:v>
      </x:c>
      <x:c r="L65" s="37" t="n">
        <x:v>70</x:v>
      </x:c>
      <x:c r="M65" s="37" t="str"/>
      <x:c r="N65" s="34" t="str">
        <x:v>IMPORT</x:v>
      </x:c>
      <x:c r="O65" s="34" t="str">
        <x:v>INVENTORY</x:v>
      </x:c>
      <x:c r="P65" s="34" t="str">
        <x:v>PACKAGING</x:v>
      </x:c>
      <x:c r="Q65" s="34" t="str">
        <x:v>DRIP_BAGS</x:v>
      </x:c>
      <x:c r="R65" s="38" t="n">
        <x:v>112527</x:v>
      </x:c>
      <x:c r="S65" s="34" t="str">
        <x:v>Drip-bag stock. Invoice total controls; source detail sum was 967. Included fees allocated into item costs: عمولة علي بابا مع نقل داخل الصين.</x:v>
      </x:c>
    </x:row>
    <x:row r="66">
      <x:c r="A66" s="33" t="n">
        <x:v>66</x:v>
      </x:c>
      <x:c r="B66" s="33" t="str">
        <x:v>DOC000135</x:v>
      </x:c>
      <x:c r="C66" s="34" t="str">
        <x:v>اكياس تغليف اكياس التقطير</x:v>
      </x:c>
      <x:c r="D66" s="34" t="n">
        <x:v>5000</x:v>
      </x:c>
      <x:c r="E66" s="34" t="str"/>
      <x:c r="F66" s="34" t="str">
        <x:v>مفرد</x:v>
      </x:c>
      <x:c r="G66" s="34" t="str">
        <x:v>علي بابا</x:v>
      </x:c>
      <x:c r="H66" s="33" t="str">
        <x:v>'294938623001025867</x:v>
      </x:c>
      <x:c r="I66" s="33" t="str">
        <x:v>2026-02-17</x:v>
      </x:c>
      <x:c r="J66" s="33" t="str">
        <x:v>2026-02-17</x:v>
      </x:c>
      <x:c r="K66" s="34" t="str">
        <x:v>دولار</x:v>
      </x:c>
      <x:c r="L66" s="37" t="n">
        <x:v>500</x:v>
      </x:c>
      <x:c r="M66" s="37" t="str"/>
      <x:c r="N66" s="34" t="str">
        <x:v>IMPORT</x:v>
      </x:c>
      <x:c r="O66" s="34" t="str">
        <x:v>INVENTORY</x:v>
      </x:c>
      <x:c r="P66" s="34" t="str">
        <x:v>PACKAGING</x:v>
      </x:c>
      <x:c r="Q66" s="34" t="str">
        <x:v>PACKAGING</x:v>
      </x:c>
      <x:c r="R66" s="38" t="n">
        <x:v>803763</x:v>
      </x:c>
      <x:c r="S66" s="34" t="str">
        <x:v>Packaging stock. Invoice total controls; source detail sum was 967. Included fees allocated into item costs: عمولة علي بابا مع نقل داخل الصين.</x:v>
      </x:c>
    </x:row>
    <x:row r="67">
      <x:c r="A67" s="33" t="n">
        <x:v>67</x:v>
      </x:c>
      <x:c r="B67" s="33" t="str">
        <x:v>DOC000135</x:v>
      </x:c>
      <x:c r="C67" s="34" t="str">
        <x:v>اكياس قهوة تجارية</x:v>
      </x:c>
      <x:c r="D67" s="34" t="n">
        <x:v>2400</x:v>
      </x:c>
      <x:c r="E67" s="34" t="n">
        <x:v>0.15</x:v>
      </x:c>
      <x:c r="F67" s="34" t="str">
        <x:v>مفرد</x:v>
      </x:c>
      <x:c r="G67" s="34" t="str">
        <x:v>علي بابا</x:v>
      </x:c>
      <x:c r="H67" s="33" t="str">
        <x:v>'294938623001025867</x:v>
      </x:c>
      <x:c r="I67" s="33" t="str">
        <x:v>2026-02-17</x:v>
      </x:c>
      <x:c r="J67" s="33" t="str">
        <x:v>2026-02-17</x:v>
      </x:c>
      <x:c r="K67" s="34" t="str">
        <x:v>دولار</x:v>
      </x:c>
      <x:c r="L67" s="37" t="n">
        <x:v>360</x:v>
      </x:c>
      <x:c r="M67" s="37" t="str"/>
      <x:c r="N67" s="34" t="str">
        <x:v>IMPORT</x:v>
      </x:c>
      <x:c r="O67" s="34" t="str">
        <x:v>INVENTORY</x:v>
      </x:c>
      <x:c r="P67" s="34" t="str">
        <x:v>PACKAGING</x:v>
      </x:c>
      <x:c r="Q67" s="34" t="str">
        <x:v>PACKAGING</x:v>
      </x:c>
      <x:c r="R67" s="38" t="n">
        <x:v>578710</x:v>
      </x:c>
      <x:c r="S67" s="34" t="str">
        <x:v>Packaging stock. Invoice total controls; source detail sum was 967. Included fees allocated into item costs: عمولة علي بابا مع نقل داخل الصين.</x:v>
      </x:c>
    </x:row>
    <x:row r="68">
      <x:c r="A68" s="33" t="n">
        <x:v>68</x:v>
      </x:c>
      <x:c r="B68" s="33" t="str">
        <x:v>DOC000135</x:v>
      </x:c>
      <x:c r="C68" s="34" t="str">
        <x:v>عمولة علي بابا مع نقل داخل الصين</x:v>
      </x:c>
      <x:c r="D68" s="34" t="n">
        <x:v>1</x:v>
      </x:c>
      <x:c r="E68" s="34" t="n">
        <x:v>37</x:v>
      </x:c>
      <x:c r="F68" s="34" t="str">
        <x:v>مفرد</x:v>
      </x:c>
      <x:c r="G68" s="34" t="str">
        <x:v>علي بابا</x:v>
      </x:c>
      <x:c r="H68" s="33" t="str">
        <x:v>'294938623001025867</x:v>
      </x:c>
      <x:c r="I68" s="33" t="str">
        <x:v>2026-02-17</x:v>
      </x:c>
      <x:c r="J68" s="33" t="str">
        <x:v>2026-02-17</x:v>
      </x:c>
      <x:c r="K68" s="34" t="str">
        <x:v>دولار</x:v>
      </x:c>
      <x:c r="L68" s="37" t="n">
        <x:v>37</x:v>
      </x:c>
      <x:c r="M68" s="37" t="n">
        <x:v>1495000</x:v>
      </x:c>
      <x:c r="N68" s="34" t="str">
        <x:v>ALLOCATED</x:v>
      </x:c>
      <x:c r="O68" s="34" t="str"/>
      <x:c r="P68" s="34" t="str"/>
      <x:c r="Q68" s="34" t="str"/>
      <x:c r="R68" s="38" t="n">
        <x:v>0</x:v>
      </x:c>
      <x:c r="S68" s="34" t="str">
        <x:v>Allocated proportionally into the retained invoice item costs; not imported as a separate expense line.</x:v>
      </x:c>
    </x:row>
    <x:row r="69">
      <x:c r="A69" s="33" t="n">
        <x:v>69</x:v>
      </x:c>
      <x:c r="B69" s="33" t="str">
        <x:v>DOC000136</x:v>
      </x:c>
      <x:c r="C69" s="34" t="str">
        <x:v>رف مخزني2*2*60 4طبقات</x:v>
      </x:c>
      <x:c r="D69" s="34" t="n">
        <x:v>2</x:v>
      </x:c>
      <x:c r="E69" s="34" t="n">
        <x:v>119000</x:v>
      </x:c>
      <x:c r="F69" s="34" t="str">
        <x:v>مفرد</x:v>
      </x:c>
      <x:c r="G69" s="34" t="str">
        <x:v>جهى برا</x:v>
      </x:c>
      <x:c r="H69" s="33" t="str">
        <x:v>6541</x:v>
      </x:c>
      <x:c r="I69" s="33" t="str">
        <x:v>2026-02-01</x:v>
      </x:c>
      <x:c r="J69" s="33" t="str">
        <x:v>2026-02-01</x:v>
      </x:c>
      <x:c r="K69" s="34" t="str">
        <x:v>دينار عراقي</x:v>
      </x:c>
      <x:c r="L69" s="37" t="n">
        <x:v>238000</x:v>
      </x:c>
      <x:c r="M69" s="37" t="str"/>
      <x:c r="N69" s="34" t="str">
        <x:v>IMPORT</x:v>
      </x:c>
      <x:c r="O69" s="34" t="str">
        <x:v>ASSET</x:v>
      </x:c>
      <x:c r="P69" s="34" t="str">
        <x:v>EQUIPMENT</x:v>
      </x:c>
      <x:c r="Q69" s="34" t="str"/>
      <x:c r="R69" s="38" t="n">
        <x:v>237933</x:v>
      </x:c>
      <x:c r="S69" s="34" t="str">
        <x:v>Durable item at or above IQD 100,000. Date normalized from the workbook numeric cell to its visible day/month convention. Invoice total controls; source detail sum was 372100.</x:v>
      </x:c>
    </x:row>
    <x:row r="70">
      <x:c r="A70" s="33" t="n">
        <x:v>70</x:v>
      </x:c>
      <x:c r="B70" s="33" t="str">
        <x:v>DOC000136</x:v>
      </x:c>
      <x:c r="C70" s="34" t="str">
        <x:v>اكياس دلفري 30*20</x:v>
      </x:c>
      <x:c r="D70" s="34" t="n">
        <x:v>100</x:v>
      </x:c>
      <x:c r="E70" s="34" t="n">
        <x:v>128</x:v>
      </x:c>
      <x:c r="F70" s="34" t="str">
        <x:v>مفرد</x:v>
      </x:c>
      <x:c r="G70" s="34" t="str">
        <x:v>جهى برا</x:v>
      </x:c>
      <x:c r="H70" s="33" t="str">
        <x:v>6541</x:v>
      </x:c>
      <x:c r="I70" s="33" t="str">
        <x:v>2026-02-01</x:v>
      </x:c>
      <x:c r="J70" s="33" t="str">
        <x:v>2026-02-01</x:v>
      </x:c>
      <x:c r="K70" s="34" t="str">
        <x:v>دينار عراقي</x:v>
      </x:c>
      <x:c r="L70" s="37" t="n">
        <x:v>12750</x:v>
      </x:c>
      <x:c r="M70" s="37" t="str"/>
      <x:c r="N70" s="34" t="str">
        <x:v>IMPORT</x:v>
      </x:c>
      <x:c r="O70" s="34" t="str">
        <x:v>INVENTORY</x:v>
      </x:c>
      <x:c r="P70" s="34" t="str">
        <x:v>PACKAGING</x:v>
      </x:c>
      <x:c r="Q70" s="34" t="str">
        <x:v>PACKAGING</x:v>
      </x:c>
      <x:c r="R70" s="38" t="n">
        <x:v>12747</x:v>
      </x:c>
      <x:c r="S70" s="34" t="str">
        <x:v>Packaging stock. Date normalized from the workbook numeric cell to its visible day/month convention. Invoice total controls; source detail sum was 372100.</x:v>
      </x:c>
    </x:row>
    <x:row r="71">
      <x:c r="A71" s="33" t="n">
        <x:v>71</x:v>
      </x:c>
      <x:c r="B71" s="33" t="str">
        <x:v>DOC000136</x:v>
      </x:c>
      <x:c r="C71" s="34" t="str">
        <x:v>اكياس دلفري 45*30</x:v>
      </x:c>
      <x:c r="D71" s="34" t="n">
        <x:v>100</x:v>
      </x:c>
      <x:c r="E71" s="34" t="n">
        <x:v>128</x:v>
      </x:c>
      <x:c r="F71" s="34" t="str">
        <x:v>مفرد</x:v>
      </x:c>
      <x:c r="G71" s="34" t="str">
        <x:v>جهى برا</x:v>
      </x:c>
      <x:c r="H71" s="33" t="str">
        <x:v>6541</x:v>
      </x:c>
      <x:c r="I71" s="33" t="str">
        <x:v>2026-02-01</x:v>
      </x:c>
      <x:c r="J71" s="33" t="str">
        <x:v>2026-02-01</x:v>
      </x:c>
      <x:c r="K71" s="34" t="str">
        <x:v>دينار عراقي</x:v>
      </x:c>
      <x:c r="L71" s="37" t="n">
        <x:v>12800</x:v>
      </x:c>
      <x:c r="M71" s="37" t="str"/>
      <x:c r="N71" s="34" t="str">
        <x:v>IMPORT</x:v>
      </x:c>
      <x:c r="O71" s="34" t="str">
        <x:v>INVENTORY</x:v>
      </x:c>
      <x:c r="P71" s="34" t="str">
        <x:v>PACKAGING</x:v>
      </x:c>
      <x:c r="Q71" s="34" t="str">
        <x:v>PACKAGING</x:v>
      </x:c>
      <x:c r="R71" s="38" t="n">
        <x:v>12796</x:v>
      </x:c>
      <x:c r="S71" s="34" t="str">
        <x:v>Packaging stock. Date normalized from the workbook numeric cell to its visible day/month convention. Invoice total controls; source detail sum was 372100.</x:v>
      </x:c>
    </x:row>
    <x:row r="72">
      <x:c r="A72" s="33" t="n">
        <x:v>72</x:v>
      </x:c>
      <x:c r="B72" s="33" t="str">
        <x:v>DOC000136</x:v>
      </x:c>
      <x:c r="C72" s="34" t="str">
        <x:v>اكياس دلفري 50*40</x:v>
      </x:c>
      <x:c r="D72" s="34" t="n">
        <x:v>100</x:v>
      </x:c>
      <x:c r="E72" s="34" t="n">
        <x:v>128</x:v>
      </x:c>
      <x:c r="F72" s="34" t="str">
        <x:v>مفرد</x:v>
      </x:c>
      <x:c r="G72" s="34" t="str">
        <x:v>جهى برا</x:v>
      </x:c>
      <x:c r="H72" s="33" t="str">
        <x:v>6541</x:v>
      </x:c>
      <x:c r="I72" s="33" t="str">
        <x:v>2026-02-01</x:v>
      </x:c>
      <x:c r="J72" s="33" t="str">
        <x:v>2026-02-01</x:v>
      </x:c>
      <x:c r="K72" s="34" t="str">
        <x:v>دينار عراقي</x:v>
      </x:c>
      <x:c r="L72" s="37" t="n">
        <x:v>12800</x:v>
      </x:c>
      <x:c r="M72" s="37" t="str"/>
      <x:c r="N72" s="34" t="str">
        <x:v>IMPORT</x:v>
      </x:c>
      <x:c r="O72" s="34" t="str">
        <x:v>INVENTORY</x:v>
      </x:c>
      <x:c r="P72" s="34" t="str">
        <x:v>PACKAGING</x:v>
      </x:c>
      <x:c r="Q72" s="34" t="str">
        <x:v>PACKAGING</x:v>
      </x:c>
      <x:c r="R72" s="38" t="n">
        <x:v>12796</x:v>
      </x:c>
      <x:c r="S72" s="34" t="str">
        <x:v>Packaging stock. Date normalized from the workbook numeric cell to its visible day/month convention. Invoice total controls; source detail sum was 372100.</x:v>
      </x:c>
    </x:row>
    <x:row r="73">
      <x:c r="A73" s="33" t="n">
        <x:v>73</x:v>
      </x:c>
      <x:c r="B73" s="33" t="str">
        <x:v>DOC000136</x:v>
      </x:c>
      <x:c r="C73" s="34" t="str">
        <x:v>اكياس دلفري 45*60</x:v>
      </x:c>
      <x:c r="D73" s="34" t="n">
        <x:v>100</x:v>
      </x:c>
      <x:c r="E73" s="34" t="n">
        <x:v>128</x:v>
      </x:c>
      <x:c r="F73" s="34" t="str">
        <x:v>مفرد</x:v>
      </x:c>
      <x:c r="G73" s="34" t="str">
        <x:v>جهى برا</x:v>
      </x:c>
      <x:c r="H73" s="33" t="str">
        <x:v>6541</x:v>
      </x:c>
      <x:c r="I73" s="33" t="str">
        <x:v>2026-02-01</x:v>
      </x:c>
      <x:c r="J73" s="33" t="str">
        <x:v>2026-02-01</x:v>
      </x:c>
      <x:c r="K73" s="34" t="str">
        <x:v>دينار عراقي</x:v>
      </x:c>
      <x:c r="L73" s="37" t="n">
        <x:v>12800</x:v>
      </x:c>
      <x:c r="M73" s="37" t="str"/>
      <x:c r="N73" s="34" t="str">
        <x:v>IMPORT</x:v>
      </x:c>
      <x:c r="O73" s="34" t="str">
        <x:v>INVENTORY</x:v>
      </x:c>
      <x:c r="P73" s="34" t="str">
        <x:v>PACKAGING</x:v>
      </x:c>
      <x:c r="Q73" s="34" t="str">
        <x:v>PACKAGING</x:v>
      </x:c>
      <x:c r="R73" s="38" t="n">
        <x:v>12796</x:v>
      </x:c>
      <x:c r="S73" s="34" t="str">
        <x:v>Packaging stock. Date normalized from the workbook numeric cell to its visible day/month convention. Invoice total controls; source detail sum was 372100.</x:v>
      </x:c>
    </x:row>
    <x:row r="74">
      <x:c r="A74" s="33" t="n">
        <x:v>74</x:v>
      </x:c>
      <x:c r="B74" s="33" t="str">
        <x:v>DOC000136</x:v>
      </x:c>
      <x:c r="C74" s="34" t="str">
        <x:v>علبة بلاستيك لون اسود حجم 500</x:v>
      </x:c>
      <x:c r="D74" s="34" t="n">
        <x:v>150</x:v>
      </x:c>
      <x:c r="E74" s="34" t="n">
        <x:v>453</x:v>
      </x:c>
      <x:c r="F74" s="34" t="str">
        <x:v>مفرد</x:v>
      </x:c>
      <x:c r="G74" s="34" t="str">
        <x:v>جهى برا</x:v>
      </x:c>
      <x:c r="H74" s="33" t="str">
        <x:v>6541</x:v>
      </x:c>
      <x:c r="I74" s="33" t="str">
        <x:v>2026-02-01</x:v>
      </x:c>
      <x:c r="J74" s="33" t="str">
        <x:v>2026-02-01</x:v>
      </x:c>
      <x:c r="K74" s="34" t="str">
        <x:v>دينار عراقي</x:v>
      </x:c>
      <x:c r="L74" s="37" t="n">
        <x:v>67950</x:v>
      </x:c>
      <x:c r="M74" s="37" t="str"/>
      <x:c r="N74" s="34" t="str">
        <x:v>IMPORT</x:v>
      </x:c>
      <x:c r="O74" s="34" t="str">
        <x:v>INVENTORY</x:v>
      </x:c>
      <x:c r="P74" s="34" t="str">
        <x:v>PACKAGING</x:v>
      </x:c>
      <x:c r="Q74" s="34" t="str">
        <x:v>PACKAGING</x:v>
      </x:c>
      <x:c r="R74" s="38" t="n">
        <x:v>67931</x:v>
      </x:c>
      <x:c r="S74" s="34" t="str">
        <x:v>Packaging stock. Date normalized from the workbook numeric cell to its visible day/month convention. Invoice total controls; source detail sum was 372100.</x:v>
      </x:c>
    </x:row>
    <x:row r="75">
      <x:c r="A75" s="33" t="n">
        <x:v>75</x:v>
      </x:c>
      <x:c r="B75" s="33" t="str">
        <x:v>DOC000136</x:v>
      </x:c>
      <x:c r="C75" s="34" t="str">
        <x:v>غلاية ماء 800 مل</x:v>
      </x:c>
      <x:c r="D75" s="34" t="n">
        <x:v>1</x:v>
      </x:c>
      <x:c r="E75" s="34" t="n">
        <x:v>15000</x:v>
      </x:c>
      <x:c r="F75" s="34" t="str">
        <x:v>مفرد</x:v>
      </x:c>
      <x:c r="G75" s="34" t="str">
        <x:v>جهى برا</x:v>
      </x:c>
      <x:c r="H75" s="33" t="str">
        <x:v>6541</x:v>
      </x:c>
      <x:c r="I75" s="33" t="str">
        <x:v>2026-02-01</x:v>
      </x:c>
      <x:c r="J75" s="33" t="str">
        <x:v>2026-02-01</x:v>
      </x:c>
      <x:c r="K75" s="34" t="str">
        <x:v>دينار عراقي</x:v>
      </x:c>
      <x:c r="L75" s="37" t="n">
        <x:v>15000</x:v>
      </x:c>
      <x:c r="M75" s="37" t="n">
        <x:v>371995</x:v>
      </x:c>
      <x:c r="N75" s="34" t="str">
        <x:v>IMPORT</x:v>
      </x:c>
      <x:c r="O75" s="34" t="str">
        <x:v>EXPENSE</x:v>
      </x:c>
      <x:c r="P75" s="34" t="str">
        <x:v>EQUIPMENT</x:v>
      </x:c>
      <x:c r="Q75" s="34" t="str"/>
      <x:c r="R75" s="38" t="n">
        <x:v>14996</x:v>
      </x:c>
      <x:c r="S75" s="34" t="str">
        <x:v>Low-value tool or equipment below capitalization threshold. Date normalized from the workbook numeric cell to its visible day/month convention. Invoice total controls; source detail sum was 372100.</x:v>
      </x:c>
    </x:row>
    <x:row r="76">
      <x:c r="A76" s="33" t="n">
        <x:v>76</x:v>
      </x:c>
      <x:c r="B76" s="33" t="str">
        <x:v>DOC000137</x:v>
      </x:c>
      <x:c r="C76" s="34" t="str">
        <x:v>اشتراك سنوي دومين لهيب</x:v>
      </x:c>
      <x:c r="D76" s="34" t="n">
        <x:v>1</x:v>
      </x:c>
      <x:c r="E76" s="34" t="n">
        <x:v>30</x:v>
      </x:c>
      <x:c r="F76" s="34" t="str">
        <x:v>مفرد</x:v>
      </x:c>
      <x:c r="G76" s="34" t="str">
        <x:v>كوكل</x:v>
      </x:c>
      <x:c r="H76" s="33" t="str">
        <x:v>5447007936</x:v>
      </x:c>
      <x:c r="I76" s="33" t="str">
        <x:v>2025-12-31</x:v>
      </x:c>
      <x:c r="J76" s="33" t="str">
        <x:v>2025-12-31</x:v>
      </x:c>
      <x:c r="K76" s="34" t="str">
        <x:v>دولار</x:v>
      </x:c>
      <x:c r="L76" s="37" t="n">
        <x:v>30</x:v>
      </x:c>
      <x:c r="M76" s="37" t="n">
        <x:v>40200</x:v>
      </x:c>
      <x:c r="N76" s="34" t="str">
        <x:v>IMPORT</x:v>
      </x:c>
      <x:c r="O76" s="34" t="str">
        <x:v>SERVICE</x:v>
      </x:c>
      <x:c r="P76" s="34" t="str">
        <x:v>TECH</x:v>
      </x:c>
      <x:c r="Q76" s="34" t="str"/>
      <x:c r="R76" s="38" t="n">
        <x:v>40200</x:v>
      </x:c>
      <x:c r="S76" s="34" t="str">
        <x:v>Software or online service. Invoice total controls; source detail sum was 30.</x:v>
      </x:c>
    </x:row>
    <x:row r="77">
      <x:c r="A77" s="33" t="n">
        <x:v>77</x:v>
      </x:c>
      <x:c r="B77" s="33" t="str">
        <x:v>DOC000138</x:v>
      </x:c>
      <x:c r="C77" s="34" t="str">
        <x:v>اشتراك شهري بريد الكتروني</x:v>
      </x:c>
      <x:c r="D77" s="34" t="n">
        <x:v>1</x:v>
      </x:c>
      <x:c r="E77" s="34" t="n">
        <x:v>6.1</x:v>
      </x:c>
      <x:c r="F77" s="34" t="str">
        <x:v>مفرد</x:v>
      </x:c>
      <x:c r="G77" s="34" t="str">
        <x:v>كوكل</x:v>
      </x:c>
      <x:c r="H77" s="33" t="str">
        <x:v>5475295714</x:v>
      </x:c>
      <x:c r="I77" s="33" t="str">
        <x:v>2026-01-31</x:v>
      </x:c>
      <x:c r="J77" s="33" t="str">
        <x:v>2026-01-31</x:v>
      </x:c>
      <x:c r="K77" s="34" t="str">
        <x:v>دولار</x:v>
      </x:c>
      <x:c r="L77" s="37" t="n">
        <x:v>6.1</x:v>
      </x:c>
      <x:c r="M77" s="37" t="n">
        <x:v>8174</x:v>
      </x:c>
      <x:c r="N77" s="34" t="str">
        <x:v>IMPORT</x:v>
      </x:c>
      <x:c r="O77" s="34" t="str">
        <x:v>SERVICE</x:v>
      </x:c>
      <x:c r="P77" s="34" t="str">
        <x:v>TECH</x:v>
      </x:c>
      <x:c r="Q77" s="34" t="str"/>
      <x:c r="R77" s="38" t="n">
        <x:v>8174</x:v>
      </x:c>
      <x:c r="S77" s="34" t="str">
        <x:v>Software or online service. Invoice total controls; source detail sum was 6.1.</x:v>
      </x:c>
    </x:row>
    <x:row r="78">
      <x:c r="A78" s="33" t="n">
        <x:v>78</x:v>
      </x:c>
      <x:c r="B78" s="33" t="str">
        <x:v>DOC000139</x:v>
      </x:c>
      <x:c r="C78" s="34" t="str">
        <x:v>اشتراك شهري بريد الكتروني</x:v>
      </x:c>
      <x:c r="D78" s="34" t="n">
        <x:v>1</x:v>
      </x:c>
      <x:c r="E78" s="34" t="n">
        <x:v>6.3</x:v>
      </x:c>
      <x:c r="F78" s="34" t="str">
        <x:v>مفرد</x:v>
      </x:c>
      <x:c r="G78" s="34" t="str">
        <x:v>كوكل</x:v>
      </x:c>
      <x:c r="H78" s="33" t="str">
        <x:v>5500857482</x:v>
      </x:c>
      <x:c r="I78" s="33" t="str">
        <x:v>2026-02-28</x:v>
      </x:c>
      <x:c r="J78" s="33" t="str">
        <x:v>2026-02-28</x:v>
      </x:c>
      <x:c r="K78" s="34" t="str">
        <x:v>دولار</x:v>
      </x:c>
      <x:c r="L78" s="37" t="n">
        <x:v>6.3</x:v>
      </x:c>
      <x:c r="M78" s="37" t="n">
        <x:v>8442</x:v>
      </x:c>
      <x:c r="N78" s="34" t="str">
        <x:v>IMPORT</x:v>
      </x:c>
      <x:c r="O78" s="34" t="str">
        <x:v>SERVICE</x:v>
      </x:c>
      <x:c r="P78" s="34" t="str">
        <x:v>TECH</x:v>
      </x:c>
      <x:c r="Q78" s="34" t="str"/>
      <x:c r="R78" s="38" t="n">
        <x:v>8442</x:v>
      </x:c>
      <x:c r="S78" s="34" t="str">
        <x:v>Software or online service. Invoice total controls; source detail sum was 6.3.</x:v>
      </x:c>
    </x:row>
    <x:row r="79">
      <x:c r="A79" s="33" t="n">
        <x:v>79</x:v>
      </x:c>
      <x:c r="B79" s="33" t="str">
        <x:v>DOC000140</x:v>
      </x:c>
      <x:c r="C79" s="34" t="str">
        <x:v>اشتراك شهري بريد الكتروني</x:v>
      </x:c>
      <x:c r="D79" s="34" t="n">
        <x:v>1</x:v>
      </x:c>
      <x:c r="E79" s="34" t="n">
        <x:v>6.3</x:v>
      </x:c>
      <x:c r="F79" s="34" t="str">
        <x:v>مفرد</x:v>
      </x:c>
      <x:c r="G79" s="34" t="str">
        <x:v>كوكل</x:v>
      </x:c>
      <x:c r="H79" s="33" t="str">
        <x:v>5527655767</x:v>
      </x:c>
      <x:c r="I79" s="33" t="str">
        <x:v>2026-03-31</x:v>
      </x:c>
      <x:c r="J79" s="33" t="str">
        <x:v>2026-03-31</x:v>
      </x:c>
      <x:c r="K79" s="34" t="str">
        <x:v>دولار</x:v>
      </x:c>
      <x:c r="L79" s="37" t="n">
        <x:v>6.3</x:v>
      </x:c>
      <x:c r="M79" s="37" t="n">
        <x:v>8442</x:v>
      </x:c>
      <x:c r="N79" s="34" t="str">
        <x:v>IMPORT</x:v>
      </x:c>
      <x:c r="O79" s="34" t="str">
        <x:v>SERVICE</x:v>
      </x:c>
      <x:c r="P79" s="34" t="str">
        <x:v>TECH</x:v>
      </x:c>
      <x:c r="Q79" s="34" t="str"/>
      <x:c r="R79" s="38" t="n">
        <x:v>8442</x:v>
      </x:c>
      <x:c r="S79" s="34" t="str">
        <x:v>Software or online service. Invoice total controls; source detail sum was 6.3.</x:v>
      </x:c>
    </x:row>
    <x:row r="80">
      <x:c r="A80" s="33" t="n">
        <x:v>80</x:v>
      </x:c>
      <x:c r="B80" s="33" t="str">
        <x:v>DOC000141</x:v>
      </x:c>
      <x:c r="C80" s="34" t="str">
        <x:v>موكا بوت</x:v>
      </x:c>
      <x:c r="D80" s="34" t="n">
        <x:v>1</x:v>
      </x:c>
      <x:c r="E80" s="34" t="n">
        <x:v>22000</x:v>
      </x:c>
      <x:c r="F80" s="34" t="str">
        <x:v>مفرد</x:v>
      </x:c>
      <x:c r="G80" s="34" t="str">
        <x:v>جهى برا</x:v>
      </x:c>
      <x:c r="H80" s="33" t="str">
        <x:v>6542</x:v>
      </x:c>
      <x:c r="I80" s="33" t="str">
        <x:v>2025-10-26</x:v>
      </x:c>
      <x:c r="J80" s="33" t="str">
        <x:v>2025-10-26</x:v>
      </x:c>
      <x:c r="K80" s="34" t="str">
        <x:v>دينار عراقي</x:v>
      </x:c>
      <x:c r="L80" s="37" t="n">
        <x:v>22000</x:v>
      </x:c>
      <x:c r="M80" s="37" t="str"/>
      <x:c r="N80" s="34" t="str">
        <x:v>IMPORT</x:v>
      </x:c>
      <x:c r="O80" s="34" t="str">
        <x:v>INVENTORY</x:v>
      </x:c>
      <x:c r="P80" s="34" t="str">
        <x:v>EQUIPMENT</x:v>
      </x:c>
      <x:c r="Q80" s="34" t="str">
        <x:v>ACCESSORY</x:v>
      </x:c>
      <x:c r="R80" s="38" t="n">
        <x:v>22000</x:v>
      </x:c>
      <x:c r="S80" s="34" t="str">
        <x:v>Coffee accessory stock.</x:v>
      </x:c>
    </x:row>
    <x:row r="81">
      <x:c r="A81" s="33" t="n">
        <x:v>81</x:v>
      </x:c>
      <x:c r="B81" s="33" t="str">
        <x:v>DOC000141</x:v>
      </x:c>
      <x:c r="C81" s="34" t="str">
        <x:v>ايرو بريس</x:v>
      </x:c>
      <x:c r="D81" s="34" t="n">
        <x:v>1</x:v>
      </x:c>
      <x:c r="E81" s="34" t="n">
        <x:v>22000</x:v>
      </x:c>
      <x:c r="F81" s="34" t="str">
        <x:v>مفرد</x:v>
      </x:c>
      <x:c r="G81" s="34" t="str">
        <x:v>جهى برا</x:v>
      </x:c>
      <x:c r="H81" s="33" t="str">
        <x:v>6542</x:v>
      </x:c>
      <x:c r="I81" s="33" t="str">
        <x:v>2025-10-26</x:v>
      </x:c>
      <x:c r="J81" s="33" t="str">
        <x:v>2025-10-26</x:v>
      </x:c>
      <x:c r="K81" s="34" t="str">
        <x:v>دينار عراقي</x:v>
      </x:c>
      <x:c r="L81" s="37" t="n">
        <x:v>22000</x:v>
      </x:c>
      <x:c r="M81" s="37" t="str"/>
      <x:c r="N81" s="34" t="str">
        <x:v>IMPORT</x:v>
      </x:c>
      <x:c r="O81" s="34" t="str">
        <x:v>INVENTORY</x:v>
      </x:c>
      <x:c r="P81" s="34" t="str">
        <x:v>EQUIPMENT</x:v>
      </x:c>
      <x:c r="Q81" s="34" t="str">
        <x:v>ACCESSORY</x:v>
      </x:c>
      <x:c r="R81" s="38" t="n">
        <x:v>22000</x:v>
      </x:c>
      <x:c r="S81" s="34" t="str">
        <x:v>Coffee accessory stock.</x:v>
      </x:c>
    </x:row>
    <x:row r="82">
      <x:c r="A82" s="33" t="n">
        <x:v>82</x:v>
      </x:c>
      <x:c r="B82" s="33" t="str">
        <x:v>DOC000141</x:v>
      </x:c>
      <x:c r="C82" s="34" t="str">
        <x:v>V60 سيت تحضير</x:v>
      </x:c>
      <x:c r="D82" s="34" t="n">
        <x:v>1</x:v>
      </x:c>
      <x:c r="E82" s="34" t="n">
        <x:v>22000</x:v>
      </x:c>
      <x:c r="F82" s="34" t="str">
        <x:v>مفرد</x:v>
      </x:c>
      <x:c r="G82" s="34" t="str">
        <x:v>جهى برا</x:v>
      </x:c>
      <x:c r="H82" s="33" t="str">
        <x:v>6542</x:v>
      </x:c>
      <x:c r="I82" s="33" t="str">
        <x:v>2025-10-26</x:v>
      </x:c>
      <x:c r="J82" s="33" t="str">
        <x:v>2025-10-26</x:v>
      </x:c>
      <x:c r="K82" s="34" t="str">
        <x:v>دينار عراقي</x:v>
      </x:c>
      <x:c r="L82" s="37" t="n">
        <x:v>22000</x:v>
      </x:c>
      <x:c r="M82" s="37" t="str"/>
      <x:c r="N82" s="34" t="str">
        <x:v>IMPORT</x:v>
      </x:c>
      <x:c r="O82" s="34" t="str">
        <x:v>INVENTORY</x:v>
      </x:c>
      <x:c r="P82" s="34" t="str">
        <x:v>EQUIPMENT</x:v>
      </x:c>
      <x:c r="Q82" s="34" t="str">
        <x:v>ACCESSORY</x:v>
      </x:c>
      <x:c r="R82" s="38" t="n">
        <x:v>22000</x:v>
      </x:c>
      <x:c r="S82" s="34" t="str">
        <x:v>Coffee accessory stock.</x:v>
      </x:c>
    </x:row>
    <x:row r="83">
      <x:c r="A83" s="33" t="n">
        <x:v>83</x:v>
      </x:c>
      <x:c r="B83" s="33" t="str">
        <x:v>DOC000141</x:v>
      </x:c>
      <x:c r="C83" s="34" t="str">
        <x:v>ميزان الكتروني</x:v>
      </x:c>
      <x:c r="D83" s="34" t="n">
        <x:v>1</x:v>
      </x:c>
      <x:c r="E83" s="34" t="n">
        <x:v>22000</x:v>
      </x:c>
      <x:c r="F83" s="34" t="str">
        <x:v>مفرد</x:v>
      </x:c>
      <x:c r="G83" s="34" t="str">
        <x:v>جهى برا</x:v>
      </x:c>
      <x:c r="H83" s="33" t="str">
        <x:v>6542</x:v>
      </x:c>
      <x:c r="I83" s="33" t="str">
        <x:v>2025-10-26</x:v>
      </x:c>
      <x:c r="J83" s="33" t="str">
        <x:v>2025-10-26</x:v>
      </x:c>
      <x:c r="K83" s="34" t="str">
        <x:v>دينار عراقي</x:v>
      </x:c>
      <x:c r="L83" s="37" t="n">
        <x:v>22000</x:v>
      </x:c>
      <x:c r="M83" s="37" t="str"/>
      <x:c r="N83" s="34" t="str">
        <x:v>IMPORT</x:v>
      </x:c>
      <x:c r="O83" s="34" t="str">
        <x:v>INVENTORY</x:v>
      </x:c>
      <x:c r="P83" s="34" t="str">
        <x:v>EQUIPMENT</x:v>
      </x:c>
      <x:c r="Q83" s="34" t="str">
        <x:v>ACCESSORY</x:v>
      </x:c>
      <x:c r="R83" s="38" t="n">
        <x:v>22000</x:v>
      </x:c>
      <x:c r="S83" s="34" t="str">
        <x:v>Coffee accessory stock.</x:v>
      </x:c>
    </x:row>
    <x:row r="84">
      <x:c r="A84" s="33" t="n">
        <x:v>84</x:v>
      </x:c>
      <x:c r="B84" s="33" t="str">
        <x:v>DOC000141</x:v>
      </x:c>
      <x:c r="C84" s="34" t="str">
        <x:v>كتلي</x:v>
      </x:c>
      <x:c r="D84" s="34" t="n">
        <x:v>1</x:v>
      </x:c>
      <x:c r="E84" s="34" t="n">
        <x:v>22000</x:v>
      </x:c>
      <x:c r="F84" s="34" t="str">
        <x:v>مفرد</x:v>
      </x:c>
      <x:c r="G84" s="34" t="str">
        <x:v>جهى برا</x:v>
      </x:c>
      <x:c r="H84" s="33" t="str">
        <x:v>6542</x:v>
      </x:c>
      <x:c r="I84" s="33" t="str">
        <x:v>2025-10-26</x:v>
      </x:c>
      <x:c r="J84" s="33" t="str">
        <x:v>2025-10-26</x:v>
      </x:c>
      <x:c r="K84" s="34" t="str">
        <x:v>دينار عراقي</x:v>
      </x:c>
      <x:c r="L84" s="37" t="n">
        <x:v>22000</x:v>
      </x:c>
      <x:c r="M84" s="37" t="n">
        <x:v>110000</x:v>
      </x:c>
      <x:c r="N84" s="34" t="str">
        <x:v>IMPORT</x:v>
      </x:c>
      <x:c r="O84" s="34" t="str">
        <x:v>INVENTORY</x:v>
      </x:c>
      <x:c r="P84" s="34" t="str">
        <x:v>EQUIPMENT</x:v>
      </x:c>
      <x:c r="Q84" s="34" t="str">
        <x:v>ACCESSORY</x:v>
      </x:c>
      <x:c r="R84" s="38" t="n">
        <x:v>22000</x:v>
      </x:c>
      <x:c r="S84" s="34" t="str">
        <x:v>Coffee accessory stock.</x:v>
      </x:c>
    </x:row>
    <x:row r="85">
      <x:c r="A85" s="33" t="n">
        <x:v>85</x:v>
      </x:c>
      <x:c r="B85" s="33" t="str">
        <x:v>DOC000142</x:v>
      </x:c>
      <x:c r="C85" s="34" t="str">
        <x:v>اشتراك اودو سنوي</x:v>
      </x:c>
      <x:c r="D85" s="34" t="n">
        <x:v>1</x:v>
      </x:c>
      <x:c r="E85" s="34" t="n">
        <x:v>130</x:v>
      </x:c>
      <x:c r="F85" s="34" t="str">
        <x:v>مفرد</x:v>
      </x:c>
      <x:c r="G85" s="34" t="str">
        <x:v>اودو</x:v>
      </x:c>
      <x:c r="H85" s="33" t="str">
        <x:v>INV/2026/29604</x:v>
      </x:c>
      <x:c r="I85" s="33" t="str">
        <x:v>2026-04-04</x:v>
      </x:c>
      <x:c r="J85" s="33" t="str">
        <x:v>2026-04-04</x:v>
      </x:c>
      <x:c r="K85" s="34" t="str">
        <x:v>دولار</x:v>
      </x:c>
      <x:c r="L85" s="37" t="n">
        <x:v>130</x:v>
      </x:c>
      <x:c r="M85" s="37" t="n">
        <x:v>174200</x:v>
      </x:c>
      <x:c r="N85" s="34" t="str">
        <x:v>IMPORT</x:v>
      </x:c>
      <x:c r="O85" s="34" t="str">
        <x:v>SERVICE</x:v>
      </x:c>
      <x:c r="P85" s="34" t="str">
        <x:v>TECH</x:v>
      </x:c>
      <x:c r="Q85" s="34" t="str"/>
      <x:c r="R85" s="38" t="n">
        <x:v>174200</x:v>
      </x:c>
      <x:c r="S85" s="34" t="str">
        <x:v>Software or online service. Date normalized from the workbook numeric cell to its visible day/month convention. Invoice total controls; source detail sum was 130.</x:v>
      </x:c>
    </x:row>
    <x:row r="86">
      <x:c r="A86" s="33" t="n">
        <x:v>86</x:v>
      </x:c>
      <x:c r="B86" s="33" t="str">
        <x:v>DOC000143</x:v>
      </x:c>
      <x:c r="C86" s="34" t="str">
        <x:v>كوب ورقي لهيب</x:v>
      </x:c>
      <x:c r="D86" s="34" t="n">
        <x:v>3000</x:v>
      </x:c>
      <x:c r="E86" s="34" t="n">
        <x:v>190</x:v>
      </x:c>
      <x:c r="F86" s="34" t="str">
        <x:v>مفرد</x:v>
      </x:c>
      <x:c r="G86" s="34" t="str">
        <x:v>اوس اكثم</x:v>
      </x:c>
      <x:c r="H86" s="33" t="str">
        <x:v>1446</x:v>
      </x:c>
      <x:c r="I86" s="33" t="str">
        <x:v>2026-03-14</x:v>
      </x:c>
      <x:c r="J86" s="33" t="str">
        <x:v>2026-03-14</x:v>
      </x:c>
      <x:c r="K86" s="34" t="str">
        <x:v>دينار عراقي</x:v>
      </x:c>
      <x:c r="L86" s="37" t="n">
        <x:v>570000</x:v>
      </x:c>
      <x:c r="M86" s="37" t="n">
        <x:v>570000</x:v>
      </x:c>
      <x:c r="N86" s="34" t="str">
        <x:v>IMPORT</x:v>
      </x:c>
      <x:c r="O86" s="34" t="str">
        <x:v>INVENTORY</x:v>
      </x:c>
      <x:c r="P86" s="34" t="str">
        <x:v>PACKAGING</x:v>
      </x:c>
      <x:c r="Q86" s="34" t="str">
        <x:v>PACKAGING</x:v>
      </x:c>
      <x:c r="R86" s="38" t="n">
        <x:v>570000</x:v>
      </x:c>
      <x:c r="S86" s="34" t="str">
        <x:v>Packaging stock.</x:v>
      </x:c>
    </x:row>
    <x:row r="87">
      <x:c r="A87" s="33" t="n">
        <x:v>87</x:v>
      </x:c>
      <x:c r="B87" s="33" t="str">
        <x:v>DOC000144</x:v>
      </x:c>
      <x:c r="C87" s="34" t="str">
        <x:v>دفعة اولى اجور تصميم هوية لهيب</x:v>
      </x:c>
      <x:c r="D87" s="34" t="n">
        <x:v>1</x:v>
      </x:c>
      <x:c r="E87" s="34" t="n">
        <x:v>3500000</x:v>
      </x:c>
      <x:c r="F87" s="34" t="str">
        <x:v>مفرد</x:v>
      </x:c>
      <x:c r="G87" s="34" t="str">
        <x:v>سولو ستوديو</x:v>
      </x:c>
      <x:c r="H87" s="33" t="str">
        <x:v>بدون فاتورة</x:v>
      </x:c>
      <x:c r="I87" s="33" t="str">
        <x:v>2026-04-01</x:v>
      </x:c>
      <x:c r="J87" s="33" t="str">
        <x:v>2026-04-01</x:v>
      </x:c>
      <x:c r="K87" s="34" t="str">
        <x:v>دينار عراقي</x:v>
      </x:c>
      <x:c r="L87" s="37" t="n">
        <x:v>3500000</x:v>
      </x:c>
      <x:c r="M87" s="37" t="n">
        <x:v>3500000</x:v>
      </x:c>
      <x:c r="N87" s="34" t="str">
        <x:v>IMPORT</x:v>
      </x:c>
      <x:c r="O87" s="34" t="str">
        <x:v>SERVICE</x:v>
      </x:c>
      <x:c r="P87" s="34" t="str">
        <x:v>MARKETING</x:v>
      </x:c>
      <x:c r="Q87" s="34" t="str"/>
      <x:c r="R87" s="38" t="n">
        <x:v>3500000</x:v>
      </x:c>
      <x:c r="S87" s="34" t="str">
        <x:v>Branding and marketing cost. Date normalized from the workbook numeric cell to its visible day/month convention.</x:v>
      </x:c>
    </x:row>
    <x:row r="88">
      <x:c r="A88" s="33" t="n">
        <x:v>88</x:v>
      </x:c>
      <x:c r="B88" s="33" t="str">
        <x:v>DOC000145</x:v>
      </x:c>
      <x:c r="C88" s="34" t="str">
        <x:v>سلفون دائري 70 ملم</x:v>
      </x:c>
      <x:c r="D88" s="34" t="n">
        <x:v>1100</x:v>
      </x:c>
      <x:c r="E88" s="34" t="n">
        <x:v>27</x:v>
      </x:c>
      <x:c r="F88" s="34" t="str">
        <x:v>مفرد</x:v>
      </x:c>
      <x:c r="G88" s="34" t="str">
        <x:v>جهى برا</x:v>
      </x:c>
      <x:c r="H88" s="33" t="str">
        <x:v>6543</x:v>
      </x:c>
      <x:c r="I88" s="33" t="str">
        <x:v>2026-01-05</x:v>
      </x:c>
      <x:c r="J88" s="33" t="str">
        <x:v>2026-01-05</x:v>
      </x:c>
      <x:c r="K88" s="34" t="str">
        <x:v>دينار عراقي</x:v>
      </x:c>
      <x:c r="L88" s="37" t="n">
        <x:v>30000</x:v>
      </x:c>
      <x:c r="M88" s="37" t="n">
        <x:v>30000</x:v>
      </x:c>
      <x:c r="N88" s="34" t="str">
        <x:v>IMPORT</x:v>
      </x:c>
      <x:c r="O88" s="34" t="str">
        <x:v>INVENTORY</x:v>
      </x:c>
      <x:c r="P88" s="34" t="str">
        <x:v>PACKAGING</x:v>
      </x:c>
      <x:c r="Q88" s="34" t="str">
        <x:v>PACKAGING</x:v>
      </x:c>
      <x:c r="R88" s="38" t="n">
        <x:v>30000</x:v>
      </x:c>
      <x:c r="S88" s="34" t="str">
        <x:v>Packaging stock. Date normalized from the workbook numeric cell to its visible day/month convention.</x:v>
      </x:c>
    </x:row>
    <x:row r="89">
      <x:c r="A89" s="33" t="n">
        <x:v>89</x:v>
      </x:c>
      <x:c r="B89" s="33" t="str">
        <x:v>DOC000146</x:v>
      </x:c>
      <x:c r="C89" s="34" t="str">
        <x:v>سطل 12 كيلو ابيض</x:v>
      </x:c>
      <x:c r="D89" s="34" t="n">
        <x:v>25</x:v>
      </x:c>
      <x:c r="E89" s="34" t="n">
        <x:v>2000</x:v>
      </x:c>
      <x:c r="F89" s="34" t="str">
        <x:v>مفرد</x:v>
      </x:c>
      <x:c r="G89" s="34" t="str">
        <x:v>معمل بلاستك الصريح</x:v>
      </x:c>
      <x:c r="H89" s="33" t="str">
        <x:v>540453413</x:v>
      </x:c>
      <x:c r="I89" s="33" t="str">
        <x:v>2026-01-19</x:v>
      </x:c>
      <x:c r="J89" s="33" t="str">
        <x:v>2026-01-19</x:v>
      </x:c>
      <x:c r="K89" s="34" t="str">
        <x:v>دينار عراقي</x:v>
      </x:c>
      <x:c r="L89" s="37" t="n">
        <x:v>50000</x:v>
      </x:c>
      <x:c r="M89" s="37" t="n">
        <x:v>50000</x:v>
      </x:c>
      <x:c r="N89" s="34" t="str">
        <x:v>IMPORT</x:v>
      </x:c>
      <x:c r="O89" s="34" t="str">
        <x:v>INVENTORY</x:v>
      </x:c>
      <x:c r="P89" s="34" t="str">
        <x:v>PACKAGING</x:v>
      </x:c>
      <x:c r="Q89" s="34" t="str">
        <x:v>PACKAGING</x:v>
      </x:c>
      <x:c r="R89" s="38" t="n">
        <x:v>50000</x:v>
      </x:c>
      <x:c r="S89" s="34" t="str">
        <x:v>Packaging stock.</x:v>
      </x:c>
    </x:row>
    <x:row r="90">
      <x:c r="A90" s="33" t="n">
        <x:v>90</x:v>
      </x:c>
      <x:c r="B90" s="33" t="str">
        <x:v>DOC000147</x:v>
      </x:c>
      <x:c r="C90" s="34" t="str">
        <x:v>جهاز كبس سلفون</x:v>
      </x:c>
      <x:c r="D90" s="34" t="n">
        <x:v>1</x:v>
      </x:c>
      <x:c r="E90" s="34" t="n">
        <x:v>150000</x:v>
      </x:c>
      <x:c r="F90" s="34" t="str">
        <x:v>مفرد</x:v>
      </x:c>
      <x:c r="G90" s="34" t="str">
        <x:v>مكائن سيف</x:v>
      </x:c>
      <x:c r="H90" s="33" t="str">
        <x:v>151</x:v>
      </x:c>
      <x:c r="I90" s="33" t="str"/>
      <x:c r="J90" s="33" t="str">
        <x:v>2026-01-19</x:v>
      </x:c>
      <x:c r="K90" s="34" t="str">
        <x:v>دينار عراقي</x:v>
      </x:c>
      <x:c r="L90" s="37" t="n">
        <x:v>150000</x:v>
      </x:c>
      <x:c r="M90" s="37" t="n">
        <x:v>150000</x:v>
      </x:c>
      <x:c r="N90" s="34" t="str">
        <x:v>IMPORT</x:v>
      </x:c>
      <x:c r="O90" s="34" t="str">
        <x:v>ASSET</x:v>
      </x:c>
      <x:c r="P90" s="34" t="str">
        <x:v>EQUIPMENT</x:v>
      </x:c>
      <x:c r="Q90" s="34" t="str"/>
      <x:c r="R90" s="38" t="n">
        <x:v>150000</x:v>
      </x:c>
      <x:c r="S90" s="34" t="str">
        <x:v>Durable item at or above IQD 100,000. Date inferred as 2026-01-19 from the supplier invoice sequence.</x:v>
      </x:c>
    </x:row>
    <x:row r="91">
      <x:c r="A91" s="33" t="n">
        <x:v>91</x:v>
      </x:c>
      <x:c r="B91" s="33" t="str">
        <x:v>DOC000148</x:v>
      </x:c>
      <x:c r="C91" s="34" t="str">
        <x:v>كيس علاكة لوكو لهيب ورقي</x:v>
      </x:c>
      <x:c r="D91" s="34" t="n">
        <x:v>500</x:v>
      </x:c>
      <x:c r="E91" s="34" t="n">
        <x:v>370</x:v>
      </x:c>
      <x:c r="F91" s="34" t="str">
        <x:v>مفرد</x:v>
      </x:c>
      <x:c r="G91" s="34" t="str">
        <x:v>دكتور ريكلام</x:v>
      </x:c>
      <x:c r="H91" s="33" t="str">
        <x:v>164</x:v>
      </x:c>
      <x:c r="I91" s="33" t="str">
        <x:v>2026-04-06</x:v>
      </x:c>
      <x:c r="J91" s="33" t="str">
        <x:v>2026-04-06</x:v>
      </x:c>
      <x:c r="K91" s="34" t="str">
        <x:v>دينار عراقي</x:v>
      </x:c>
      <x:c r="L91" s="37" t="n">
        <x:v>185000</x:v>
      </x:c>
      <x:c r="M91" s="37" t="n">
        <x:v>185000</x:v>
      </x:c>
      <x:c r="N91" s="34" t="str">
        <x:v>IMPORT</x:v>
      </x:c>
      <x:c r="O91" s="34" t="str">
        <x:v>INVENTORY</x:v>
      </x:c>
      <x:c r="P91" s="34" t="str">
        <x:v>PACKAGING</x:v>
      </x:c>
      <x:c r="Q91" s="34" t="str">
        <x:v>PACKAGING</x:v>
      </x:c>
      <x:c r="R91" s="38" t="n">
        <x:v>185000</x:v>
      </x:c>
      <x:c r="S91" s="34" t="str">
        <x:v>Packaging stock. Date normalized from the workbook numeric cell to its visible day/month convention.</x:v>
      </x:c>
    </x:row>
    <x:row r="92">
      <x:c r="A92" s="33" t="n">
        <x:v>92</x:v>
      </x:c>
      <x:c r="B92" s="33" t="str">
        <x:v>DOC000149</x:v>
      </x:c>
      <x:c r="C92" s="34" t="str">
        <x:v>طابعة حرارية كاشير</x:v>
      </x:c>
      <x:c r="D92" s="34" t="n">
        <x:v>1</x:v>
      </x:c>
      <x:c r="E92" s="34" t="n">
        <x:v>93000</x:v>
      </x:c>
      <x:c r="F92" s="34" t="str">
        <x:v>مفرد</x:v>
      </x:c>
      <x:c r="G92" s="34" t="str">
        <x:v>شركة ئافيستا</x:v>
      </x:c>
      <x:c r="H92" s="33" t="str">
        <x:v>464</x:v>
      </x:c>
      <x:c r="I92" s="33" t="str">
        <x:v>2026-04-27</x:v>
      </x:c>
      <x:c r="J92" s="33" t="str">
        <x:v>2026-04-27</x:v>
      </x:c>
      <x:c r="K92" s="34" t="str">
        <x:v>دينار عراقي</x:v>
      </x:c>
      <x:c r="L92" s="37" t="n">
        <x:v>93000</x:v>
      </x:c>
      <x:c r="M92" s="37" t="n">
        <x:v>93000</x:v>
      </x:c>
      <x:c r="N92" s="34" t="str">
        <x:v>IMPORT</x:v>
      </x:c>
      <x:c r="O92" s="34" t="str">
        <x:v>EXPENSE</x:v>
      </x:c>
      <x:c r="P92" s="34" t="str">
        <x:v>TECH</x:v>
      </x:c>
      <x:c r="Q92" s="34" t="str"/>
      <x:c r="R92" s="38" t="n">
        <x:v>93000</x:v>
      </x:c>
      <x:c r="S92" s="34" t="str">
        <x:v>Low-value technology equipment.</x:v>
      </x:c>
    </x:row>
    <x:row r="93">
      <x:c r="A93" s="33" t="n">
        <x:v>93</x:v>
      </x:c>
      <x:c r="B93" s="33" t="str">
        <x:v>DOC000150</x:v>
      </x:c>
      <x:c r="C93" s="34" t="str">
        <x:v>ورق ستيكر+ قاطعة يدوي</x:v>
      </x:c>
      <x:c r="D93" s="34" t="n">
        <x:v>3</x:v>
      </x:c>
      <x:c r="E93" s="34" t="n">
        <x:v>40000</x:v>
      </x:c>
      <x:c r="F93" s="34" t="str">
        <x:v>مفرد</x:v>
      </x:c>
      <x:c r="G93" s="34" t="str">
        <x:v>قرطاسية بيكس</x:v>
      </x:c>
      <x:c r="H93" s="33" t="str">
        <x:v>24</x:v>
      </x:c>
      <x:c r="I93" s="33" t="str">
        <x:v>2026-04-27</x:v>
      </x:c>
      <x:c r="J93" s="33" t="str">
        <x:v>2026-04-27</x:v>
      </x:c>
      <x:c r="K93" s="34" t="str">
        <x:v>دينار عراقي</x:v>
      </x:c>
      <x:c r="L93" s="37" t="n">
        <x:v>40000</x:v>
      </x:c>
      <x:c r="M93" s="37" t="n">
        <x:v>40000</x:v>
      </x:c>
      <x:c r="N93" s="34" t="str">
        <x:v>IMPORT</x:v>
      </x:c>
      <x:c r="O93" s="34" t="str">
        <x:v>INVENTORY</x:v>
      </x:c>
      <x:c r="P93" s="34" t="str">
        <x:v>PACKAGING</x:v>
      </x:c>
      <x:c r="Q93" s="34" t="str">
        <x:v>PACKAGING</x:v>
      </x:c>
      <x:c r="R93" s="38" t="n">
        <x:v>40000</x:v>
      </x:c>
      <x:c r="S93" s="34" t="str">
        <x:v>Packaging stock.</x:v>
      </x:c>
    </x:row>
    <x:row r="94">
      <x:c r="A94" s="33" t="n">
        <x:v>94</x:v>
      </x:c>
      <x:c r="B94" s="33" t="str">
        <x:v>DOC000151</x:v>
      </x:c>
      <x:c r="C94" s="34" t="str">
        <x:v>اشتراك انترنت اسياسيل شهري للمحل</x:v>
      </x:c>
      <x:c r="D94" s="34" t="n">
        <x:v>1</x:v>
      </x:c>
      <x:c r="E94" s="34" t="n">
        <x:v>40000</x:v>
      </x:c>
      <x:c r="F94" s="34" t="str">
        <x:v>مفرد</x:v>
      </x:c>
      <x:c r="G94" s="34" t="str">
        <x:v>اسيا سيل</x:v>
      </x:c>
      <x:c r="H94" s="33" t="str">
        <x:v>PR2804202610430374</x:v>
      </x:c>
      <x:c r="I94" s="33" t="str">
        <x:v>2026-04-28</x:v>
      </x:c>
      <x:c r="J94" s="33" t="str">
        <x:v>2026-04-28</x:v>
      </x:c>
      <x:c r="K94" s="34" t="str">
        <x:v>دينار عراقي</x:v>
      </x:c>
      <x:c r="L94" s="37" t="n">
        <x:v>40000</x:v>
      </x:c>
      <x:c r="M94" s="37" t="n">
        <x:v>40000</x:v>
      </x:c>
      <x:c r="N94" s="34" t="str">
        <x:v>IMPORT</x:v>
      </x:c>
      <x:c r="O94" s="34" t="str">
        <x:v>SERVICE</x:v>
      </x:c>
      <x:c r="P94" s="34" t="str">
        <x:v>UTILITIES</x:v>
      </x:c>
      <x:c r="Q94" s="34" t="str"/>
      <x:c r="R94" s="38" t="n">
        <x:v>40000</x:v>
      </x:c>
      <x:c r="S94" s="34" t="str">
        <x:v>Connectivity cost.</x:v>
      </x:c>
    </x:row>
    <x:row r="95">
      <x:c r="A95" s="33" t="n">
        <x:v>95</x:v>
      </x:c>
      <x:c r="B95" s="33" t="str">
        <x:v>DOC000152</x:v>
      </x:c>
      <x:c r="C95" s="34" t="str">
        <x:v>سلة حديد فرز الشاف عن الحبوب</x:v>
      </x:c>
      <x:c r="D95" s="34" t="n">
        <x:v>1</x:v>
      </x:c>
      <x:c r="E95" s="34" t="n">
        <x:v>7000</x:v>
      </x:c>
      <x:c r="F95" s="34" t="str">
        <x:v>مفرد</x:v>
      </x:c>
      <x:c r="G95" s="34" t="str">
        <x:v>جهى برا</x:v>
      </x:c>
      <x:c r="H95" s="33" t="str">
        <x:v>6544</x:v>
      </x:c>
      <x:c r="I95" s="33" t="str">
        <x:v>2026-05-09</x:v>
      </x:c>
      <x:c r="J95" s="33" t="str">
        <x:v>2026-05-09</x:v>
      </x:c>
      <x:c r="K95" s="34" t="str">
        <x:v>دينار عراقي</x:v>
      </x:c>
      <x:c r="L95" s="37" t="n">
        <x:v>7000</x:v>
      </x:c>
      <x:c r="M95" s="37" t="n">
        <x:v>7000</x:v>
      </x:c>
      <x:c r="N95" s="34" t="str">
        <x:v>IMPORT</x:v>
      </x:c>
      <x:c r="O95" s="34" t="str">
        <x:v>EXPENSE</x:v>
      </x:c>
      <x:c r="P95" s="34" t="str">
        <x:v>EQUIPMENT</x:v>
      </x:c>
      <x:c r="Q95" s="34" t="str"/>
      <x:c r="R95" s="38" t="n">
        <x:v>7000</x:v>
      </x:c>
      <x:c r="S95" s="34" t="str">
        <x:v>Low-value tool or equipment below capitalization threshold. Date normalized from the workbook numeric cell to its visible day/month convention.</x:v>
      </x:c>
    </x:row>
    <x:row r="96">
      <x:c r="A96" s="33" t="n">
        <x:v>96</x:v>
      </x:c>
      <x:c r="B96" s="33" t="str">
        <x:v>DOC000153</x:v>
      </x:c>
      <x:c r="C96" s="34" t="str">
        <x:v>ليبل حراري لاصق 80*120</x:v>
      </x:c>
      <x:c r="D96" s="34" t="n">
        <x:v>1</x:v>
      </x:c>
      <x:c r="E96" s="34" t="n">
        <x:v>14000</x:v>
      </x:c>
      <x:c r="F96" s="34" t="str">
        <x:v>مفرد</x:v>
      </x:c>
      <x:c r="G96" s="34" t="str">
        <x:v>علي للتكنلوجيا الحديثة</x:v>
      </x:c>
      <x:c r="H96" s="33" t="str">
        <x:v>8510</x:v>
      </x:c>
      <x:c r="I96" s="33" t="str">
        <x:v>2026-05-01</x:v>
      </x:c>
      <x:c r="J96" s="33" t="str">
        <x:v>2026-05-01</x:v>
      </x:c>
      <x:c r="K96" s="34" t="str">
        <x:v>دينار عراقي</x:v>
      </x:c>
      <x:c r="L96" s="37" t="n">
        <x:v>14000</x:v>
      </x:c>
      <x:c r="M96" s="37" t="str"/>
      <x:c r="N96" s="34" t="str">
        <x:v>IMPORT</x:v>
      </x:c>
      <x:c r="O96" s="34" t="str">
        <x:v>INVENTORY</x:v>
      </x:c>
      <x:c r="P96" s="34" t="str">
        <x:v>PACKAGING</x:v>
      </x:c>
      <x:c r="Q96" s="34" t="str">
        <x:v>PACKAGING</x:v>
      </x:c>
      <x:c r="R96" s="38" t="n">
        <x:v>20000</x:v>
      </x:c>
      <x:c r="S96" s="34" t="str">
        <x:v>Packaging stock. Date normalized from the workbook numeric cell to its visible day/month convention. Included fees allocated into item costs: اجور توصيل محافظات.</x:v>
      </x:c>
    </x:row>
    <x:row r="97">
      <x:c r="A97" s="33" t="n">
        <x:v>97</x:v>
      </x:c>
      <x:c r="B97" s="33" t="str">
        <x:v>DOC000153</x:v>
      </x:c>
      <x:c r="C97" s="34" t="str">
        <x:v>اجور توصيل محافظات</x:v>
      </x:c>
      <x:c r="D97" s="34" t="n">
        <x:v>1</x:v>
      </x:c>
      <x:c r="E97" s="34" t="n">
        <x:v>6000</x:v>
      </x:c>
      <x:c r="F97" s="34" t="str">
        <x:v>مفرد</x:v>
      </x:c>
      <x:c r="G97" s="34" t="str">
        <x:v>علي للتكنلوجيا الحديثة</x:v>
      </x:c>
      <x:c r="H97" s="33" t="str">
        <x:v>8510</x:v>
      </x:c>
      <x:c r="I97" s="33" t="str">
        <x:v>2026-05-01</x:v>
      </x:c>
      <x:c r="J97" s="33" t="str">
        <x:v>2026-05-01</x:v>
      </x:c>
      <x:c r="K97" s="34" t="str">
        <x:v>دينار عراقي</x:v>
      </x:c>
      <x:c r="L97" s="37" t="n">
        <x:v>6000</x:v>
      </x:c>
      <x:c r="M97" s="37" t="n">
        <x:v>20000</x:v>
      </x:c>
      <x:c r="N97" s="34" t="str">
        <x:v>ALLOCATED</x:v>
      </x:c>
      <x:c r="O97" s="34" t="str"/>
      <x:c r="P97" s="34" t="str"/>
      <x:c r="Q97" s="34" t="str"/>
      <x:c r="R97" s="38" t="n">
        <x:v>0</x:v>
      </x:c>
      <x:c r="S97" s="34" t="str">
        <x:v>Allocated proportionally into the retained invoice item costs; not imported as a separate expense line.</x:v>
      </x:c>
    </x:row>
    <x:row r="98">
      <x:c r="A98" s="33" t="n">
        <x:v>98</x:v>
      </x:c>
      <x:c r="B98" s="33" t="str">
        <x:v>DOC000154</x:v>
      </x:c>
      <x:c r="C98" s="34" t="str">
        <x:v>اجور نقل دولي اكياس تغليف اكياس التقطير</x:v>
      </x:c>
      <x:c r="D98" s="34" t="n">
        <x:v>1</x:v>
      </x:c>
      <x:c r="E98" s="34" t="n">
        <x:v>240000</x:v>
      </x:c>
      <x:c r="F98" s="34" t="str">
        <x:v>مفرد</x:v>
      </x:c>
      <x:c r="G98" s="34" t="str">
        <x:v>شيمال كروب</x:v>
      </x:c>
      <x:c r="H98" s="33" t="str">
        <x:v>60</x:v>
      </x:c>
      <x:c r="I98" s="33" t="str">
        <x:v>2026-05-06</x:v>
      </x:c>
      <x:c r="J98" s="33" t="str">
        <x:v>2026-05-06</x:v>
      </x:c>
      <x:c r="K98" s="34" t="str">
        <x:v>دينار عراقي</x:v>
      </x:c>
      <x:c r="L98" s="37" t="n">
        <x:v>240000</x:v>
      </x:c>
      <x:c r="M98" s="37" t="n">
        <x:v>240000</x:v>
      </x:c>
      <x:c r="N98" s="34" t="str">
        <x:v>IMPORT</x:v>
      </x:c>
      <x:c r="O98" s="34" t="str">
        <x:v>SERVICE</x:v>
      </x:c>
      <x:c r="P98" s="34" t="str">
        <x:v>SHIPPING</x:v>
      </x:c>
      <x:c r="Q98" s="34" t="str"/>
      <x:c r="R98" s="38" t="n">
        <x:v>240000</x:v>
      </x:c>
      <x:c r="S98" s="34" t="str">
        <x:v>Freight, delivery, or customs service. Date normalized from the workbook numeric cell to its visible day/month convention.</x:v>
      </x:c>
    </x:row>
    <x:row r="99">
      <x:c r="A99" s="33" t="n">
        <x:v>99</x:v>
      </x:c>
      <x:c r="B99" s="33" t="str">
        <x:v>DOC000155</x:v>
      </x:c>
      <x:c r="C99" s="34" t="str">
        <x:v>دفعة ثانية اجور تصميم هوية لهيب</x:v>
      </x:c>
      <x:c r="D99" s="34" t="n">
        <x:v>1</x:v>
      </x:c>
      <x:c r="E99" s="34" t="n">
        <x:v>1000000</x:v>
      </x:c>
      <x:c r="F99" s="34" t="str">
        <x:v>مفرد</x:v>
      </x:c>
      <x:c r="G99" s="34" t="str">
        <x:v>سولو ستوديو</x:v>
      </x:c>
      <x:c r="H99" s="33" t="str">
        <x:v>بدون فاتورة</x:v>
      </x:c>
      <x:c r="I99" s="33" t="str">
        <x:v>2026-05-09</x:v>
      </x:c>
      <x:c r="J99" s="33" t="str">
        <x:v>2026-05-09</x:v>
      </x:c>
      <x:c r="K99" s="34" t="str">
        <x:v>دينار عراقي</x:v>
      </x:c>
      <x:c r="L99" s="37" t="n">
        <x:v>1000000</x:v>
      </x:c>
      <x:c r="M99" s="37" t="n">
        <x:v>1000000</x:v>
      </x:c>
      <x:c r="N99" s="34" t="str">
        <x:v>IMPORT</x:v>
      </x:c>
      <x:c r="O99" s="34" t="str">
        <x:v>SERVICE</x:v>
      </x:c>
      <x:c r="P99" s="34" t="str">
        <x:v>MARKETING</x:v>
      </x:c>
      <x:c r="Q99" s="34" t="str"/>
      <x:c r="R99" s="38" t="n">
        <x:v>1000000</x:v>
      </x:c>
      <x:c r="S99" s="34" t="str">
        <x:v>Branding and marketing cost. Date normalized from the workbook numeric cell to its visible day/month convention.</x:v>
      </x:c>
    </x:row>
    <x:row r="100">
      <x:c r="A100" s="33" t="n">
        <x:v>100</x:v>
      </x:c>
      <x:c r="B100" s="33" t="str">
        <x:v>DOC000156</x:v>
      </x:c>
      <x:c r="C100" s="34" t="str">
        <x:v>اشتراك شهري بريد الكتروني</x:v>
      </x:c>
      <x:c r="D100" s="34" t="n">
        <x:v>1</x:v>
      </x:c>
      <x:c r="E100" s="34" t="n">
        <x:v>6.3</x:v>
      </x:c>
      <x:c r="F100" s="34" t="str">
        <x:v>مفرد</x:v>
      </x:c>
      <x:c r="G100" s="34" t="str">
        <x:v>كوكل</x:v>
      </x:c>
      <x:c r="H100" s="33" t="str">
        <x:v>5559634697</x:v>
      </x:c>
      <x:c r="I100" s="33" t="str">
        <x:v>2026-04-30</x:v>
      </x:c>
      <x:c r="J100" s="33" t="str">
        <x:v>2026-04-30</x:v>
      </x:c>
      <x:c r="K100" s="34" t="str">
        <x:v>دولار</x:v>
      </x:c>
      <x:c r="L100" s="37" t="n">
        <x:v>6.3</x:v>
      </x:c>
      <x:c r="M100" s="37" t="n">
        <x:v>8442</x:v>
      </x:c>
      <x:c r="N100" s="34" t="str">
        <x:v>IMPORT</x:v>
      </x:c>
      <x:c r="O100" s="34" t="str">
        <x:v>SERVICE</x:v>
      </x:c>
      <x:c r="P100" s="34" t="str">
        <x:v>TECH</x:v>
      </x:c>
      <x:c r="Q100" s="34" t="str"/>
      <x:c r="R100" s="38" t="n">
        <x:v>8442</x:v>
      </x:c>
      <x:c r="S100" s="34" t="str">
        <x:v>Software or online service. Invoice total controls; source detail sum was 6.3.</x:v>
      </x:c>
    </x:row>
    <x:row r="101">
      <x:c r="A101" s="33" t="n">
        <x:v>101</x:v>
      </x:c>
      <x:c r="B101" s="33" t="str">
        <x:v>DOC000157</x:v>
      </x:c>
      <x:c r="C101" s="34" t="str">
        <x:v>طاحونة قهوة سورية نحاس</x:v>
      </x:c>
      <x:c r="D101" s="34" t="n">
        <x:v>1</x:v>
      </x:c>
      <x:c r="E101" s="34" t="n">
        <x:v>750000</x:v>
      </x:c>
      <x:c r="F101" s="34" t="str">
        <x:v>مفرد</x:v>
      </x:c>
      <x:c r="G101" s="34" t="str">
        <x:v>قهوة السرحان</x:v>
      </x:c>
      <x:c r="H101" s="33" t="str">
        <x:v>253</x:v>
      </x:c>
      <x:c r="I101" s="33" t="str">
        <x:v>2026-05-13</x:v>
      </x:c>
      <x:c r="J101" s="33" t="str">
        <x:v>2026-05-13</x:v>
      </x:c>
      <x:c r="K101" s="34" t="str">
        <x:v>دينار عراقي</x:v>
      </x:c>
      <x:c r="L101" s="37" t="n">
        <x:v>750000</x:v>
      </x:c>
      <x:c r="M101" s="37" t="n">
        <x:v>750000</x:v>
      </x:c>
      <x:c r="N101" s="34" t="str">
        <x:v>IMPORT</x:v>
      </x:c>
      <x:c r="O101" s="34" t="str">
        <x:v>ASSET</x:v>
      </x:c>
      <x:c r="P101" s="34" t="str">
        <x:v>EQUIPMENT</x:v>
      </x:c>
      <x:c r="Q101" s="34" t="str"/>
      <x:c r="R101" s="38" t="n">
        <x:v>750000</x:v>
      </x:c>
      <x:c r="S101" s="34" t="str">
        <x:v>Durable item at or above IQD 100,000.</x:v>
      </x:c>
    </x:row>
    <x:row r="102">
      <x:c r="A102" s="33" t="n">
        <x:v>102</x:v>
      </x:c>
      <x:c r="B102" s="33" t="str">
        <x:v>DOC000158</x:v>
      </x:c>
      <x:c r="C102" s="34" t="str">
        <x:v>دفع ايجار المحل</x:v>
      </x:c>
      <x:c r="D102" s="34" t="n">
        <x:v>1</x:v>
      </x:c>
      <x:c r="E102" s="34" t="n">
        <x:v>200000</x:v>
      </x:c>
      <x:c r="F102" s="34" t="str">
        <x:v>مفرد</x:v>
      </x:c>
      <x:c r="G102" s="34" t="str">
        <x:v>عقارات نعمان عولا حاجى</x:v>
      </x:c>
      <x:c r="H102" s="33" t="str">
        <x:v>869</x:v>
      </x:c>
      <x:c r="I102" s="33" t="str">
        <x:v>2026-05-14</x:v>
      </x:c>
      <x:c r="J102" s="33" t="str">
        <x:v>2026-05-14</x:v>
      </x:c>
      <x:c r="K102" s="34" t="str">
        <x:v>دينار عراقي</x:v>
      </x:c>
      <x:c r="L102" s="37" t="n">
        <x:v>200000</x:v>
      </x:c>
      <x:c r="M102" s="37" t="n">
        <x:v>200000</x:v>
      </x:c>
      <x:c r="N102" s="34" t="str">
        <x:v>IMPORT</x:v>
      </x:c>
      <x:c r="O102" s="34" t="str">
        <x:v>SERVICE</x:v>
      </x:c>
      <x:c r="P102" s="34" t="str">
        <x:v>RENT</x:v>
      </x:c>
      <x:c r="Q102" s="34" t="str"/>
      <x:c r="R102" s="38" t="n">
        <x:v>200000</x:v>
      </x:c>
      <x:c r="S102" s="34" t="str">
        <x:v>Rent, deposit, or broker cost.</x:v>
      </x:c>
    </x:row>
    <x:row r="103">
      <x:c r="A103" s="33" t="n">
        <x:v>103</x:v>
      </x:c>
      <x:c r="B103" s="33" t="str">
        <x:v>DOC000159</x:v>
      </x:c>
      <x:c r="C103" s="34" t="str">
        <x:v>دفع تأمينات مع دلالية محل رقم 61</x:v>
      </x:c>
      <x:c r="D103" s="34" t="n">
        <x:v>1</x:v>
      </x:c>
      <x:c r="E103" s="34" t="n">
        <x:v>375000</x:v>
      </x:c>
      <x:c r="F103" s="34" t="str">
        <x:v>مفرد</x:v>
      </x:c>
      <x:c r="G103" s="34" t="str">
        <x:v>عقارات جراى زين</x:v>
      </x:c>
      <x:c r="H103" s="33" t="str">
        <x:v>7</x:v>
      </x:c>
      <x:c r="I103" s="33" t="str">
        <x:v>2026-05-15</x:v>
      </x:c>
      <x:c r="J103" s="33" t="str">
        <x:v>2026-05-15</x:v>
      </x:c>
      <x:c r="K103" s="34" t="str">
        <x:v>دينار عراقي</x:v>
      </x:c>
      <x:c r="L103" s="37" t="n">
        <x:v>375000</x:v>
      </x:c>
      <x:c r="M103" s="37" t="n">
        <x:v>375000</x:v>
      </x:c>
      <x:c r="N103" s="34" t="str">
        <x:v>IMPORT</x:v>
      </x:c>
      <x:c r="O103" s="34" t="str">
        <x:v>SERVICE</x:v>
      </x:c>
      <x:c r="P103" s="34" t="str">
        <x:v>RENT</x:v>
      </x:c>
      <x:c r="Q103" s="34" t="str"/>
      <x:c r="R103" s="38" t="n">
        <x:v>375000</x:v>
      </x:c>
      <x:c r="S103" s="34" t="str">
        <x:v>Rent, deposit, or broker cost.</x:v>
      </x:c>
    </x:row>
    <x:row r="104">
      <x:c r="A104" s="33" t="n">
        <x:v>104</x:v>
      </x:c>
      <x:c r="B104" s="33" t="str">
        <x:v>DOC000160</x:v>
      </x:c>
      <x:c r="C104" s="34" t="str">
        <x:v>طاحونة هيل 150 واط</x:v>
      </x:c>
      <x:c r="D104" s="34" t="n">
        <x:v>1</x:v>
      </x:c>
      <x:c r="E104" s="34" t="n">
        <x:v>30000</x:v>
      </x:c>
      <x:c r="F104" s="34" t="str">
        <x:v>مفرد</x:v>
      </x:c>
      <x:c r="G104" s="34" t="str">
        <x:v>شوشه واتى مالى زه نكين</x:v>
      </x:c>
      <x:c r="H104" s="33" t="str">
        <x:v>7</x:v>
      </x:c>
      <x:c r="I104" s="33" t="str">
        <x:v>2026-05-15</x:v>
      </x:c>
      <x:c r="J104" s="33" t="str">
        <x:v>2026-05-15</x:v>
      </x:c>
      <x:c r="K104" s="34" t="str">
        <x:v>دينار عراقي</x:v>
      </x:c>
      <x:c r="L104" s="37" t="n">
        <x:v>30000</x:v>
      </x:c>
      <x:c r="M104" s="37" t="n">
        <x:v>30000</x:v>
      </x:c>
      <x:c r="N104" s="34" t="str">
        <x:v>IMPORT</x:v>
      </x:c>
      <x:c r="O104" s="34" t="str">
        <x:v>EXPENSE</x:v>
      </x:c>
      <x:c r="P104" s="34" t="str">
        <x:v>EQUIPMENT</x:v>
      </x:c>
      <x:c r="Q104" s="34" t="str"/>
      <x:c r="R104" s="38" t="n">
        <x:v>30000</x:v>
      </x:c>
      <x:c r="S104" s="34" t="str">
        <x:v>Low-value tool or equipment below capitalization threshold.</x:v>
      </x:c>
    </x:row>
    <x:row r="105">
      <x:c r="A105" s="33" t="n">
        <x:v>105</x:v>
      </x:c>
      <x:c r="B105" s="33" t="str">
        <x:v>DOC000161</x:v>
      </x:c>
      <x:c r="C105" s="34" t="str">
        <x:v>هيل للطحن MYQ</x:v>
      </x:c>
      <x:c r="D105" s="34" t="n">
        <x:v>5</x:v>
      </x:c>
      <x:c r="E105" s="34" t="n">
        <x:v>40000</x:v>
      </x:c>
      <x:c r="F105" s="34" t="str">
        <x:v>كيلو</x:v>
      </x:c>
      <x:c r="G105" s="34" t="str">
        <x:v>حذيفة عماد</x:v>
      </x:c>
      <x:c r="H105" s="33" t="str">
        <x:v>470</x:v>
      </x:c>
      <x:c r="I105" s="33" t="str">
        <x:v>2026-05-14</x:v>
      </x:c>
      <x:c r="J105" s="33" t="str">
        <x:v>2026-05-14</x:v>
      </x:c>
      <x:c r="K105" s="34" t="str">
        <x:v>دينار عراقي</x:v>
      </x:c>
      <x:c r="L105" s="37" t="n">
        <x:v>200000</x:v>
      </x:c>
      <x:c r="M105" s="37" t="str"/>
      <x:c r="N105" s="34" t="str">
        <x:v>IMPORT</x:v>
      </x:c>
      <x:c r="O105" s="34" t="str">
        <x:v>INVENTORY</x:v>
      </x:c>
      <x:c r="P105" s="34" t="str">
        <x:v>OVERHEAD</x:v>
      </x:c>
      <x:c r="Q105" s="34" t="str">
        <x:v>PRODUCTION_SUPPLY</x:v>
      </x:c>
      <x:c r="R105" s="38" t="n">
        <x:v>200000</x:v>
      </x:c>
      <x:c r="S105" s="34" t="str">
        <x:v>Production ingredient stock.</x:v>
      </x:c>
    </x:row>
    <x:row r="106">
      <x:c r="A106" s="33" t="n">
        <x:v>106</x:v>
      </x:c>
      <x:c r="B106" s="33" t="str">
        <x:v>DOC000161</x:v>
      </x:c>
      <x:c r="C106" s="34" t="str">
        <x:v>مكيالة ستنلس ستيل</x:v>
      </x:c>
      <x:c r="D106" s="34" t="n">
        <x:v>1</x:v>
      </x:c>
      <x:c r="E106" s="34" t="n">
        <x:v>6000</x:v>
      </x:c>
      <x:c r="F106" s="34" t="str">
        <x:v>مفرد</x:v>
      </x:c>
      <x:c r="G106" s="34" t="str">
        <x:v>حذيفة عماد</x:v>
      </x:c>
      <x:c r="H106" s="33" t="str">
        <x:v>470</x:v>
      </x:c>
      <x:c r="I106" s="33" t="str">
        <x:v>2026-05-14</x:v>
      </x:c>
      <x:c r="J106" s="33" t="str">
        <x:v>2026-05-14</x:v>
      </x:c>
      <x:c r="K106" s="34" t="str">
        <x:v>دينار عراقي</x:v>
      </x:c>
      <x:c r="L106" s="37" t="n">
        <x:v>6000</x:v>
      </x:c>
      <x:c r="M106" s="37" t="n">
        <x:v>206000</x:v>
      </x:c>
      <x:c r="N106" s="34" t="str">
        <x:v>IMPORT</x:v>
      </x:c>
      <x:c r="O106" s="34" t="str">
        <x:v>EXPENSE</x:v>
      </x:c>
      <x:c r="P106" s="34" t="str">
        <x:v>EQUIPMENT</x:v>
      </x:c>
      <x:c r="Q106" s="34" t="str"/>
      <x:c r="R106" s="38" t="n">
        <x:v>6000</x:v>
      </x:c>
      <x:c r="S106" s="34" t="str">
        <x:v>Low-value tool or equipment below capitalization threshold.</x:v>
      </x:c>
    </x:row>
    <x:row r="107">
      <x:c r="A107" s="33" t="n">
        <x:v>107</x:v>
      </x:c>
      <x:c r="B107" s="33" t="str">
        <x:v>DOC000162</x:v>
      </x:c>
      <x:c r="C107" s="34" t="str">
        <x:v>محمصة كاليدو ام 10-دفعة اولى</x:v>
      </x:c>
      <x:c r="D107" s="34" t="n">
        <x:v>1</x:v>
      </x:c>
      <x:c r="E107" s="34" t="n">
        <x:v>1000</x:v>
      </x:c>
      <x:c r="F107" s="34" t="str">
        <x:v>مفرد</x:v>
      </x:c>
      <x:c r="G107" s="34" t="str">
        <x:v>نجيرفان ماموستيان</x:v>
      </x:c>
      <x:c r="H107" s="33" t="str">
        <x:v>بدون فاتورة</x:v>
      </x:c>
      <x:c r="I107" s="33" t="str">
        <x:v>2026-05-25</x:v>
      </x:c>
      <x:c r="J107" s="33" t="str">
        <x:v>2026-05-25</x:v>
      </x:c>
      <x:c r="K107" s="34" t="str">
        <x:v>دولار</x:v>
      </x:c>
      <x:c r="L107" s="37" t="n">
        <x:v>1000</x:v>
      </x:c>
      <x:c r="M107" s="37" t="n">
        <x:v>1531000</x:v>
      </x:c>
      <x:c r="N107" s="34" t="str">
        <x:v>IMPORT</x:v>
      </x:c>
      <x:c r="O107" s="34" t="str">
        <x:v>ASSET</x:v>
      </x:c>
      <x:c r="P107" s="34" t="str">
        <x:v>EQUIPMENT</x:v>
      </x:c>
      <x:c r="Q107" s="34" t="str"/>
      <x:c r="R107" s="38" t="n">
        <x:v>1531000</x:v>
      </x:c>
      <x:c r="S107" s="34" t="str">
        <x:v>Durable item at or above IQD 100,000. Invoice total controls; source detail sum was 1000.</x:v>
      </x:c>
    </x:row>
    <x:row r="108">
      <x:c r="A108" s="33" t="n">
        <x:v>108</x:v>
      </x:c>
      <x:c r="B108" s="33" t="str">
        <x:v>DOC000163</x:v>
      </x:c>
      <x:c r="C108" s="34" t="str">
        <x:v>هولدر كوب ورقي</x:v>
      </x:c>
      <x:c r="D108" s="34" t="n">
        <x:v>1</x:v>
      </x:c>
      <x:c r="E108" s="34" t="n">
        <x:v>840000</x:v>
      </x:c>
      <x:c r="F108" s="34" t="str">
        <x:v>مفرد</x:v>
      </x:c>
      <x:c r="G108" s="34" t="str">
        <x:v>اوس اكثم</x:v>
      </x:c>
      <x:c r="H108" s="33" t="str">
        <x:v>1551</x:v>
      </x:c>
      <x:c r="I108" s="33" t="str">
        <x:v>2026-06-04</x:v>
      </x:c>
      <x:c r="J108" s="33" t="str">
        <x:v>2026-06-04</x:v>
      </x:c>
      <x:c r="K108" s="34" t="str">
        <x:v>دينار عراقي</x:v>
      </x:c>
      <x:c r="L108" s="37" t="n">
        <x:v>840000</x:v>
      </x:c>
      <x:c r="M108" s="37" t="n">
        <x:v>840000</x:v>
      </x:c>
      <x:c r="N108" s="34" t="str">
        <x:v>IMPORT</x:v>
      </x:c>
      <x:c r="O108" s="34" t="str">
        <x:v>ASSET</x:v>
      </x:c>
      <x:c r="P108" s="34" t="str">
        <x:v>EQUIPMENT</x:v>
      </x:c>
      <x:c r="Q108" s="34" t="str"/>
      <x:c r="R108" s="38" t="n">
        <x:v>840000</x:v>
      </x:c>
      <x:c r="S108" s="34" t="str">
        <x:v>Durable item at or above IQD 100,000. Date normalized from the workbook numeric cell to its visible day/month convention.</x:v>
      </x:c>
    </x:row>
    <x:row r="109">
      <x:c r="A109" s="33" t="n">
        <x:v>109</x:v>
      </x:c>
      <x:c r="B109" s="33" t="str">
        <x:v>DOC000164</x:v>
      </x:c>
      <x:c r="C109" s="34" t="str">
        <x:v>عمل ساحبة هواء للمحمصة</x:v>
      </x:c>
      <x:c r="D109" s="34" t="n">
        <x:v>1</x:v>
      </x:c>
      <x:c r="E109" s="34" t="n">
        <x:v>50000</x:v>
      </x:c>
      <x:c r="F109" s="34" t="str">
        <x:v>مفرد</x:v>
      </x:c>
      <x:c r="G109" s="34" t="str">
        <x:v>ابو مصطفى</x:v>
      </x:c>
      <x:c r="H109" s="33" t="str">
        <x:v>بدون فاتورة</x:v>
      </x:c>
      <x:c r="I109" s="33" t="str">
        <x:v>2026-06-10</x:v>
      </x:c>
      <x:c r="J109" s="33" t="str">
        <x:v>2026-06-10</x:v>
      </x:c>
      <x:c r="K109" s="34" t="str">
        <x:v>دينار عراقي</x:v>
      </x:c>
      <x:c r="L109" s="37" t="n">
        <x:v>50000</x:v>
      </x:c>
      <x:c r="M109" s="37" t="n">
        <x:v>50000</x:v>
      </x:c>
      <x:c r="N109" s="34" t="str">
        <x:v>IMPORT</x:v>
      </x:c>
      <x:c r="O109" s="34" t="str">
        <x:v>EXPENSE</x:v>
      </x:c>
      <x:c r="P109" s="34" t="str">
        <x:v>MAINTENANCE</x:v>
      </x:c>
      <x:c r="Q109" s="34" t="str"/>
      <x:c r="R109" s="38" t="n">
        <x:v>50000</x:v>
      </x:c>
      <x:c r="S109" s="34" t="str">
        <x:v>Premises maintenance or fit-out. Date normalized from the workbook numeric cell to its visible day/month convention.</x:v>
      </x:c>
    </x:row>
    <x:row r="110">
      <x:c r="A110" s="33" t="n">
        <x:v>110</x:v>
      </x:c>
      <x:c r="B110" s="33" t="str">
        <x:v>DOC000165</x:v>
      </x:c>
      <x:c r="C110" s="34" t="str">
        <x:v>دفع ايجار المحل</x:v>
      </x:c>
      <x:c r="D110" s="34" t="n">
        <x:v>1</x:v>
      </x:c>
      <x:c r="E110" s="34" t="n">
        <x:v>200000</x:v>
      </x:c>
      <x:c r="F110" s="34" t="str">
        <x:v>مفرد</x:v>
      </x:c>
      <x:c r="G110" s="34" t="str">
        <x:v>عقارات نعمان عولا حاجى</x:v>
      </x:c>
      <x:c r="H110" s="33" t="str"/>
      <x:c r="I110" s="33" t="str">
        <x:v>2026-06-10</x:v>
      </x:c>
      <x:c r="J110" s="33" t="str">
        <x:v>2026-06-10</x:v>
      </x:c>
      <x:c r="K110" s="34" t="str">
        <x:v>دينار عراقي</x:v>
      </x:c>
      <x:c r="L110" s="37" t="n">
        <x:v>200000</x:v>
      </x:c>
      <x:c r="M110" s="37" t="n">
        <x:v>200000</x:v>
      </x:c>
      <x:c r="N110" s="34" t="str">
        <x:v>IMPORT</x:v>
      </x:c>
      <x:c r="O110" s="34" t="str">
        <x:v>SERVICE</x:v>
      </x:c>
      <x:c r="P110" s="34" t="str">
        <x:v>RENT</x:v>
      </x:c>
      <x:c r="Q110" s="34" t="str"/>
      <x:c r="R110" s="38" t="n">
        <x:v>200000</x:v>
      </x:c>
      <x:c r="S110" s="34" t="str">
        <x:v>Rent, deposit, or broker cost. Date normalized from the workbook numeric cell to its visible day/month convention.</x:v>
      </x:c>
    </x:row>
    <x:row r="111">
      <x:c r="A111" s="33" t="n">
        <x:v>111</x:v>
      </x:c>
      <x:c r="B111" s="33" t="str">
        <x:v>DOC000166</x:v>
      </x:c>
      <x:c r="C111" s="34" t="str">
        <x:v>شراء سيم كارد</x:v>
      </x:c>
      <x:c r="D111" s="34" t="n">
        <x:v>1</x:v>
      </x:c>
      <x:c r="E111" s="34" t="n">
        <x:v>23000</x:v>
      </x:c>
      <x:c r="F111" s="34" t="str">
        <x:v>مفرد</x:v>
      </x:c>
      <x:c r="G111" s="34" t="str">
        <x:v>اسيا سيل</x:v>
      </x:c>
      <x:c r="H111" s="33" t="str"/>
      <x:c r="I111" s="33" t="str">
        <x:v>2026-06-09</x:v>
      </x:c>
      <x:c r="J111" s="33" t="str">
        <x:v>2026-06-09</x:v>
      </x:c>
      <x:c r="K111" s="34" t="str">
        <x:v>دينار عراقي</x:v>
      </x:c>
      <x:c r="L111" s="37" t="n">
        <x:v>23000</x:v>
      </x:c>
      <x:c r="M111" s="37" t="n">
        <x:v>23000</x:v>
      </x:c>
      <x:c r="N111" s="34" t="str">
        <x:v>IMPORT</x:v>
      </x:c>
      <x:c r="O111" s="34" t="str">
        <x:v>SERVICE</x:v>
      </x:c>
      <x:c r="P111" s="34" t="str">
        <x:v>UTILITIES</x:v>
      </x:c>
      <x:c r="Q111" s="34" t="str"/>
      <x:c r="R111" s="38" t="n">
        <x:v>23000</x:v>
      </x:c>
      <x:c r="S111" s="34" t="str">
        <x:v>Connectivity cost. Date normalized from the workbook numeric cell to its visible day/month convention.</x:v>
      </x:c>
    </x:row>
    <x:row r="112">
      <x:c r="A112" s="33" t="n">
        <x:v>112</x:v>
      </x:c>
      <x:c r="B112" s="33" t="str">
        <x:v>DOC000167</x:v>
      </x:c>
      <x:c r="C112" s="34" t="str">
        <x:v>دفع ايجار المحل</x:v>
      </x:c>
      <x:c r="D112" s="34" t="n">
        <x:v>1</x:v>
      </x:c>
      <x:c r="E112" s="34" t="n">
        <x:v>250000</x:v>
      </x:c>
      <x:c r="F112" s="34" t="str">
        <x:v>مفرد</x:v>
      </x:c>
      <x:c r="G112" s="34" t="str">
        <x:v>عقارات جراى زين</x:v>
      </x:c>
      <x:c r="H112" s="33" t="str"/>
      <x:c r="I112" s="33" t="str">
        <x:v>2026-06-09</x:v>
      </x:c>
      <x:c r="J112" s="33" t="str">
        <x:v>2026-06-09</x:v>
      </x:c>
      <x:c r="K112" s="34" t="str">
        <x:v>دينار عراقي</x:v>
      </x:c>
      <x:c r="L112" s="37" t="n">
        <x:v>250000</x:v>
      </x:c>
      <x:c r="M112" s="37" t="n">
        <x:v>250000</x:v>
      </x:c>
      <x:c r="N112" s="34" t="str">
        <x:v>IMPORT</x:v>
      </x:c>
      <x:c r="O112" s="34" t="str">
        <x:v>SERVICE</x:v>
      </x:c>
      <x:c r="P112" s="34" t="str">
        <x:v>RENT</x:v>
      </x:c>
      <x:c r="Q112" s="34" t="str"/>
      <x:c r="R112" s="38" t="n">
        <x:v>250000</x:v>
      </x:c>
      <x:c r="S112" s="34" t="str">
        <x:v>Rent, deposit, or broker cost. Date normalized from the workbook numeric cell to its visible day/month convention.</x:v>
      </x:c>
    </x:row>
    <x:row r="113">
      <x:c r="A113" s="33" t="n">
        <x:v>113</x:v>
      </x:c>
      <x:c r="B113" s="33" t="str">
        <x:v>DOC000168</x:v>
      </x:c>
      <x:c r="C113" s="34" t="str">
        <x:v>محمصة كاليدو ام 10-دفعة ثانية</x:v>
      </x:c>
      <x:c r="D113" s="34" t="n">
        <x:v>1</x:v>
      </x:c>
      <x:c r="E113" s="34" t="n">
        <x:v>3309000</x:v>
      </x:c>
      <x:c r="F113" s="34" t="str">
        <x:v>مفرد</x:v>
      </x:c>
      <x:c r="G113" s="34" t="str">
        <x:v>نجيرفان ماموستيان</x:v>
      </x:c>
      <x:c r="H113" s="33" t="str">
        <x:v>بدون فاتورة</x:v>
      </x:c>
      <x:c r="I113" s="33" t="str">
        <x:v>2026-06-15</x:v>
      </x:c>
      <x:c r="J113" s="33" t="str">
        <x:v>2026-06-15</x:v>
      </x:c>
      <x:c r="K113" s="34" t="str">
        <x:v>دينار عراقي</x:v>
      </x:c>
      <x:c r="L113" s="37" t="n">
        <x:v>3309000</x:v>
      </x:c>
      <x:c r="M113" s="37" t="n">
        <x:v>3309000</x:v>
      </x:c>
      <x:c r="N113" s="34" t="str">
        <x:v>IMPORT</x:v>
      </x:c>
      <x:c r="O113" s="34" t="str">
        <x:v>ASSET</x:v>
      </x:c>
      <x:c r="P113" s="34" t="str">
        <x:v>EQUIPMENT</x:v>
      </x:c>
      <x:c r="Q113" s="34" t="str"/>
      <x:c r="R113" s="38" t="n">
        <x:v>3309000</x:v>
      </x:c>
      <x:c r="S113" s="34" t="str">
        <x:v>Durable item at or above IQD 100,000.</x:v>
      </x:c>
    </x:row>
  </x:sheetData>
  <x:mergeCells>
    <x:mergeCell ref="A1:S1"/>
  </x:mergeCells>
  <x:conditionalFormatting sqref="N3:N113">
    <x:cfRule type="containsText" dxfId="2" priority="1" operator="containsText" text="ALLOCATED"/>
    <x:cfRule type="containsText" dxfId="3" priority="2" operator="containsText" text="METADATA"/>
  </x:conditionalFormatting>
  <x:pageMargins left="0.7" right="0.7" top="0.75" bottom="0.75" header="0.3" footer="0.3"/>
  <x:tableParts count="1">
    <x:tablePart xmlns:r="http://schemas.openxmlformats.org/officeDocument/2006/relationships" r:id="R2139ef2552134043"/>
  </x:tableParts>
</x:worksheet>
</file>